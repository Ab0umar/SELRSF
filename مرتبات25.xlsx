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ff5a995d3b8477ec/Desktop/"/>
    </mc:Choice>
  </mc:AlternateContent>
  <xr:revisionPtr revIDLastSave="816" documentId="8_{B9C9E639-B06F-4B30-B685-E683B775D3A4}" xr6:coauthVersionLast="47" xr6:coauthVersionMax="47" xr10:uidLastSave="{9FA9FCFA-3007-4F17-B8CA-C70CA7B76826}"/>
  <bookViews>
    <workbookView minimized="1" xWindow="2194" yWindow="2194" windowWidth="14503" windowHeight="8880" firstSheet="3" activeTab="3" xr2:uid="{6734D277-5F52-4CB9-8F68-0F5586BCB621}"/>
  </bookViews>
  <sheets>
    <sheet name="يناير" sheetId="1" r:id="rId1"/>
    <sheet name="فبراير" sheetId="2" r:id="rId2"/>
    <sheet name="مارس" sheetId="3" r:id="rId3"/>
    <sheet name="ابريل" sheetId="5" r:id="rId4"/>
    <sheet name="مايو" sheetId="6" r:id="rId5"/>
    <sheet name="يونيو" sheetId="7" r:id="rId6"/>
    <sheet name="يوليو" sheetId="8" r:id="rId7"/>
    <sheet name="اغسطس" sheetId="9" r:id="rId8"/>
    <sheet name="سبتمبر" sheetId="10" r:id="rId9"/>
    <sheet name="اكتوبر" sheetId="11" r:id="rId10"/>
    <sheet name="نوفمبر" sheetId="12" r:id="rId11"/>
    <sheet name="ديسمبر" sheetId="13" r:id="rId12"/>
    <sheet name="Sheet1" sheetId="14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4" l="1"/>
  <c r="C6" i="14"/>
  <c r="N18" i="14"/>
  <c r="P16" i="14"/>
  <c r="P18" i="14" s="1"/>
  <c r="N16" i="14"/>
  <c r="O16" i="14"/>
  <c r="M11" i="14"/>
  <c r="O11" i="14"/>
  <c r="M10" i="14"/>
  <c r="O10" i="14"/>
  <c r="W8" i="14"/>
  <c r="W7" i="14"/>
  <c r="V8" i="14"/>
  <c r="V7" i="14"/>
  <c r="U8" i="14"/>
  <c r="U7" i="14"/>
  <c r="T8" i="14"/>
  <c r="T7" i="14"/>
  <c r="S8" i="14"/>
  <c r="S7" i="14"/>
  <c r="R8" i="14"/>
  <c r="R7" i="14"/>
  <c r="Q8" i="14"/>
  <c r="P15" i="14"/>
  <c r="O9" i="14"/>
  <c r="M9" i="14"/>
  <c r="Q5" i="14"/>
  <c r="R5" i="14" s="1"/>
  <c r="S5" i="14" s="1"/>
  <c r="U4" i="14"/>
  <c r="T4" i="14"/>
  <c r="R4" i="14"/>
  <c r="S4" i="14"/>
  <c r="J5" i="14"/>
  <c r="J6" i="14" s="1"/>
  <c r="K6" i="14" s="1"/>
  <c r="M4" i="14"/>
  <c r="N4" i="14" s="1"/>
  <c r="O4" i="14" s="1"/>
  <c r="L4" i="14"/>
  <c r="K4" i="14"/>
  <c r="B6" i="14"/>
  <c r="B10" i="14"/>
  <c r="B15" i="14"/>
  <c r="C3" i="14"/>
  <c r="D3" i="14" s="1"/>
  <c r="C4" i="14"/>
  <c r="D4" i="14" s="1"/>
  <c r="C5" i="14"/>
  <c r="D5" i="14" s="1"/>
  <c r="C7" i="14"/>
  <c r="D7" i="14" s="1"/>
  <c r="C8" i="14"/>
  <c r="D8" i="14" s="1"/>
  <c r="C9" i="14"/>
  <c r="D9" i="14" s="1"/>
  <c r="C11" i="14"/>
  <c r="D11" i="14" s="1"/>
  <c r="C12" i="14"/>
  <c r="D12" i="14" s="1"/>
  <c r="C13" i="14"/>
  <c r="C14" i="14"/>
  <c r="D14" i="14" s="1"/>
  <c r="C2" i="14"/>
  <c r="E2" i="14"/>
  <c r="E3" i="14"/>
  <c r="E4" i="14"/>
  <c r="E5" i="14"/>
  <c r="E7" i="14"/>
  <c r="E8" i="14"/>
  <c r="E9" i="14"/>
  <c r="E11" i="14"/>
  <c r="E12" i="14"/>
  <c r="E13" i="14"/>
  <c r="E14" i="14"/>
  <c r="O18" i="14" l="1"/>
  <c r="M5" i="14"/>
  <c r="N5" i="14" s="1"/>
  <c r="K5" i="14"/>
  <c r="L5" i="14" s="1"/>
  <c r="Q6" i="14"/>
  <c r="C36" i="14"/>
  <c r="O5" i="14"/>
  <c r="P5" i="14" s="1"/>
  <c r="P4" i="14"/>
  <c r="L6" i="14"/>
  <c r="E17" i="14"/>
  <c r="F2" i="14"/>
  <c r="C17" i="14"/>
  <c r="B17" i="14"/>
  <c r="M6" i="14"/>
  <c r="C15" i="14"/>
  <c r="D13" i="14"/>
  <c r="D15" i="14" s="1"/>
  <c r="D2" i="14"/>
  <c r="E10" i="14"/>
  <c r="E15" i="14"/>
  <c r="E6" i="14"/>
  <c r="T5" i="14"/>
  <c r="D17" i="14" l="1"/>
  <c r="U5" i="14"/>
  <c r="V5" i="14" s="1"/>
  <c r="W5" i="14" s="1"/>
  <c r="F36" i="14"/>
  <c r="R6" i="14"/>
  <c r="S6" i="14" s="1"/>
  <c r="V4" i="14"/>
  <c r="W4" i="14" s="1"/>
  <c r="D36" i="14"/>
  <c r="N6" i="14"/>
  <c r="E36" i="14" s="1"/>
  <c r="T6" i="14"/>
  <c r="O6" i="14" l="1"/>
  <c r="P6" i="14" s="1"/>
  <c r="G36" i="14"/>
  <c r="U6" i="14"/>
  <c r="V6" i="14" s="1"/>
  <c r="W6" i="14" s="1"/>
  <c r="H36" i="14"/>
  <c r="F3" i="14" l="1"/>
  <c r="F4" i="14"/>
  <c r="G4" i="14" s="1"/>
  <c r="H4" i="14" s="1"/>
  <c r="F5" i="14"/>
  <c r="F8" i="14"/>
  <c r="G8" i="14" s="1"/>
  <c r="F9" i="14"/>
  <c r="G9" i="14" s="1"/>
  <c r="F12" i="14"/>
  <c r="G12" i="14" s="1"/>
  <c r="F13" i="14"/>
  <c r="F14" i="14"/>
  <c r="D10" i="14"/>
  <c r="D6" i="14"/>
  <c r="B28" i="13"/>
  <c r="B24" i="13"/>
  <c r="B19" i="13"/>
  <c r="B15" i="13"/>
  <c r="B10" i="13"/>
  <c r="B7" i="13"/>
  <c r="B30" i="12"/>
  <c r="B26" i="12"/>
  <c r="B21" i="12"/>
  <c r="B17" i="12"/>
  <c r="B11" i="12"/>
  <c r="B8" i="12"/>
  <c r="D15" i="11"/>
  <c r="E15" i="11" s="1"/>
  <c r="C15" i="11"/>
  <c r="B31" i="11"/>
  <c r="B27" i="11"/>
  <c r="B22" i="11"/>
  <c r="B17" i="11"/>
  <c r="B11" i="11"/>
  <c r="B8" i="11"/>
  <c r="B32" i="11"/>
  <c r="H12" i="10"/>
  <c r="I30" i="10"/>
  <c r="B32" i="10"/>
  <c r="B28" i="10"/>
  <c r="B33" i="10" s="1"/>
  <c r="B23" i="10"/>
  <c r="B18" i="10"/>
  <c r="B12" i="10"/>
  <c r="B8" i="10"/>
  <c r="D19" i="9"/>
  <c r="B32" i="9"/>
  <c r="B33" i="9" s="1"/>
  <c r="B28" i="9"/>
  <c r="B23" i="9"/>
  <c r="B18" i="9"/>
  <c r="B12" i="9"/>
  <c r="B8" i="9"/>
  <c r="J19" i="8"/>
  <c r="K30" i="8"/>
  <c r="B29" i="8"/>
  <c r="B30" i="8" s="1"/>
  <c r="B25" i="8"/>
  <c r="B21" i="8"/>
  <c r="B16" i="8"/>
  <c r="B10" i="8"/>
  <c r="B7" i="8"/>
  <c r="C20" i="7"/>
  <c r="E20" i="7" s="1"/>
  <c r="B30" i="7"/>
  <c r="B31" i="7" s="1"/>
  <c r="B26" i="7"/>
  <c r="B22" i="7"/>
  <c r="B17" i="7"/>
  <c r="B11" i="7"/>
  <c r="B8" i="7"/>
  <c r="N11" i="5"/>
  <c r="B32" i="6"/>
  <c r="B33" i="6" s="1"/>
  <c r="B28" i="6"/>
  <c r="B22" i="6"/>
  <c r="B17" i="6"/>
  <c r="B11" i="6"/>
  <c r="B8" i="6"/>
  <c r="B33" i="5"/>
  <c r="B34" i="5" s="1"/>
  <c r="B29" i="5"/>
  <c r="B23" i="5"/>
  <c r="B18" i="5"/>
  <c r="B12" i="5"/>
  <c r="B9" i="5"/>
  <c r="D15" i="5"/>
  <c r="C15" i="5"/>
  <c r="F15" i="5" s="1"/>
  <c r="E15" i="5"/>
  <c r="E16" i="3"/>
  <c r="L10" i="3"/>
  <c r="D16" i="3"/>
  <c r="F15" i="3"/>
  <c r="G15" i="3"/>
  <c r="C33" i="3"/>
  <c r="C34" i="3" s="1"/>
  <c r="C29" i="3"/>
  <c r="C23" i="3"/>
  <c r="C18" i="3"/>
  <c r="C12" i="3"/>
  <c r="C9" i="3"/>
  <c r="C20" i="2"/>
  <c r="B32" i="2"/>
  <c r="B33" i="2" s="1"/>
  <c r="B28" i="2"/>
  <c r="B22" i="2"/>
  <c r="B17" i="2"/>
  <c r="B11" i="2"/>
  <c r="B8" i="2"/>
  <c r="D13" i="1"/>
  <c r="C13" i="1"/>
  <c r="E13" i="1" s="1"/>
  <c r="K26" i="1"/>
  <c r="B32" i="1"/>
  <c r="B28" i="1"/>
  <c r="B22" i="1"/>
  <c r="B17" i="1"/>
  <c r="B11" i="1"/>
  <c r="B8" i="1"/>
  <c r="B33" i="1"/>
  <c r="I30" i="12"/>
  <c r="J20" i="11"/>
  <c r="D20" i="10"/>
  <c r="C20" i="10"/>
  <c r="E20" i="10" s="1"/>
  <c r="IV31" i="10"/>
  <c r="IT31" i="10"/>
  <c r="IR31" i="10"/>
  <c r="IP31" i="10"/>
  <c r="IN31" i="10"/>
  <c r="IL31" i="10"/>
  <c r="IJ31" i="10"/>
  <c r="IH31" i="10"/>
  <c r="IF31" i="10"/>
  <c r="ID31" i="10"/>
  <c r="IB31" i="10"/>
  <c r="HZ31" i="10"/>
  <c r="HX31" i="10"/>
  <c r="HV31" i="10"/>
  <c r="HT31" i="10"/>
  <c r="HR31" i="10"/>
  <c r="HP31" i="10"/>
  <c r="HN31" i="10"/>
  <c r="HL31" i="10"/>
  <c r="HJ31" i="10"/>
  <c r="HH31" i="10"/>
  <c r="HF31" i="10"/>
  <c r="HD31" i="10"/>
  <c r="HB31" i="10"/>
  <c r="GZ31" i="10"/>
  <c r="GX31" i="10"/>
  <c r="GV31" i="10"/>
  <c r="GT31" i="10"/>
  <c r="GR31" i="10"/>
  <c r="GP31" i="10"/>
  <c r="GN31" i="10"/>
  <c r="GL31" i="10"/>
  <c r="GJ31" i="10"/>
  <c r="GH31" i="10"/>
  <c r="GF31" i="10"/>
  <c r="GD31" i="10"/>
  <c r="GB31" i="10"/>
  <c r="FZ31" i="10"/>
  <c r="FX31" i="10"/>
  <c r="FV31" i="10"/>
  <c r="FT31" i="10"/>
  <c r="FR31" i="10"/>
  <c r="FP31" i="10"/>
  <c r="FN31" i="10"/>
  <c r="FL31" i="10"/>
  <c r="FJ31" i="10"/>
  <c r="FH31" i="10"/>
  <c r="FF31" i="10"/>
  <c r="FD31" i="10"/>
  <c r="FB31" i="10"/>
  <c r="EZ31" i="10"/>
  <c r="EX31" i="10"/>
  <c r="EV31" i="10"/>
  <c r="ET31" i="10"/>
  <c r="ER31" i="10"/>
  <c r="EP31" i="10"/>
  <c r="EN31" i="10"/>
  <c r="EL31" i="10"/>
  <c r="EJ31" i="10"/>
  <c r="EH31" i="10"/>
  <c r="EF31" i="10"/>
  <c r="ED31" i="10"/>
  <c r="EB31" i="10"/>
  <c r="DZ31" i="10"/>
  <c r="DX31" i="10"/>
  <c r="DV31" i="10"/>
  <c r="DT31" i="10"/>
  <c r="DR31" i="10"/>
  <c r="DP31" i="10"/>
  <c r="DN31" i="10"/>
  <c r="DL31" i="10"/>
  <c r="DJ31" i="10"/>
  <c r="DH31" i="10"/>
  <c r="DF31" i="10"/>
  <c r="DD31" i="10"/>
  <c r="DB31" i="10"/>
  <c r="CZ31" i="10"/>
  <c r="CX31" i="10"/>
  <c r="CV31" i="10"/>
  <c r="CT31" i="10"/>
  <c r="CR31" i="10"/>
  <c r="CP31" i="10"/>
  <c r="CN31" i="10"/>
  <c r="CL31" i="10"/>
  <c r="CJ31" i="10"/>
  <c r="CH31" i="10"/>
  <c r="CF31" i="10"/>
  <c r="CD31" i="10"/>
  <c r="CB31" i="10"/>
  <c r="BZ31" i="10"/>
  <c r="BX31" i="10"/>
  <c r="BV31" i="10"/>
  <c r="BT31" i="10"/>
  <c r="BR31" i="10"/>
  <c r="BP31" i="10"/>
  <c r="BN31" i="10"/>
  <c r="BL31" i="10"/>
  <c r="BJ31" i="10"/>
  <c r="BH31" i="10"/>
  <c r="BF31" i="10"/>
  <c r="BD31" i="10"/>
  <c r="BB31" i="10"/>
  <c r="AZ31" i="10"/>
  <c r="AX31" i="10"/>
  <c r="AV31" i="10"/>
  <c r="AT31" i="10"/>
  <c r="AR31" i="10"/>
  <c r="AP31" i="10"/>
  <c r="AN31" i="10"/>
  <c r="AL31" i="10"/>
  <c r="IV25" i="10"/>
  <c r="IT25" i="10"/>
  <c r="IR25" i="10"/>
  <c r="IP25" i="10"/>
  <c r="IN25" i="10"/>
  <c r="IL25" i="10"/>
  <c r="IJ25" i="10"/>
  <c r="IH25" i="10"/>
  <c r="IF25" i="10"/>
  <c r="ID25" i="10"/>
  <c r="IB25" i="10"/>
  <c r="HZ25" i="10"/>
  <c r="HX25" i="10"/>
  <c r="HV25" i="10"/>
  <c r="HT25" i="10"/>
  <c r="HR25" i="10"/>
  <c r="HP25" i="10"/>
  <c r="HN25" i="10"/>
  <c r="HL25" i="10"/>
  <c r="HJ25" i="10"/>
  <c r="HH25" i="10"/>
  <c r="HF25" i="10"/>
  <c r="HD25" i="10"/>
  <c r="HB25" i="10"/>
  <c r="GZ25" i="10"/>
  <c r="GX25" i="10"/>
  <c r="GV25" i="10"/>
  <c r="GT25" i="10"/>
  <c r="GR25" i="10"/>
  <c r="GP25" i="10"/>
  <c r="GN25" i="10"/>
  <c r="GL25" i="10"/>
  <c r="GJ25" i="10"/>
  <c r="GH25" i="10"/>
  <c r="GF25" i="10"/>
  <c r="GD25" i="10"/>
  <c r="GB25" i="10"/>
  <c r="FZ25" i="10"/>
  <c r="FX25" i="10"/>
  <c r="FV25" i="10"/>
  <c r="FT25" i="10"/>
  <c r="FR25" i="10"/>
  <c r="FP25" i="10"/>
  <c r="FN25" i="10"/>
  <c r="FL25" i="10"/>
  <c r="FJ25" i="10"/>
  <c r="FH25" i="10"/>
  <c r="FF25" i="10"/>
  <c r="FD25" i="10"/>
  <c r="FB25" i="10"/>
  <c r="EZ25" i="10"/>
  <c r="EX25" i="10"/>
  <c r="EV25" i="10"/>
  <c r="ET25" i="10"/>
  <c r="ER25" i="10"/>
  <c r="EP25" i="10"/>
  <c r="EN25" i="10"/>
  <c r="EL25" i="10"/>
  <c r="EJ25" i="10"/>
  <c r="EH25" i="10"/>
  <c r="EF25" i="10"/>
  <c r="ED25" i="10"/>
  <c r="EB25" i="10"/>
  <c r="DZ25" i="10"/>
  <c r="DX25" i="10"/>
  <c r="DV25" i="10"/>
  <c r="DT25" i="10"/>
  <c r="DR25" i="10"/>
  <c r="DP25" i="10"/>
  <c r="DN25" i="10"/>
  <c r="DL25" i="10"/>
  <c r="DJ25" i="10"/>
  <c r="DH25" i="10"/>
  <c r="DF25" i="10"/>
  <c r="DD25" i="10"/>
  <c r="DB25" i="10"/>
  <c r="CZ25" i="10"/>
  <c r="CX25" i="10"/>
  <c r="CV25" i="10"/>
  <c r="CT25" i="10"/>
  <c r="CR25" i="10"/>
  <c r="CP25" i="10"/>
  <c r="CN25" i="10"/>
  <c r="CL25" i="10"/>
  <c r="CJ25" i="10"/>
  <c r="CH25" i="10"/>
  <c r="CF25" i="10"/>
  <c r="CD25" i="10"/>
  <c r="CB25" i="10"/>
  <c r="BZ25" i="10"/>
  <c r="BX25" i="10"/>
  <c r="BV25" i="10"/>
  <c r="BT25" i="10"/>
  <c r="BR25" i="10"/>
  <c r="BP25" i="10"/>
  <c r="BN25" i="10"/>
  <c r="BL25" i="10"/>
  <c r="BJ25" i="10"/>
  <c r="BH25" i="10"/>
  <c r="BF25" i="10"/>
  <c r="BD25" i="10"/>
  <c r="BB25" i="10"/>
  <c r="AZ25" i="10"/>
  <c r="AX25" i="10"/>
  <c r="AV25" i="10"/>
  <c r="AT25" i="10"/>
  <c r="AR25" i="10"/>
  <c r="AP25" i="10"/>
  <c r="AN25" i="10"/>
  <c r="AL25" i="10"/>
  <c r="IV20" i="10"/>
  <c r="IT20" i="10"/>
  <c r="IR20" i="10"/>
  <c r="IP20" i="10"/>
  <c r="IN20" i="10"/>
  <c r="IL20" i="10"/>
  <c r="IJ20" i="10"/>
  <c r="IH20" i="10"/>
  <c r="IF20" i="10"/>
  <c r="ID20" i="10"/>
  <c r="IB20" i="10"/>
  <c r="HZ20" i="10"/>
  <c r="HX20" i="10"/>
  <c r="HV20" i="10"/>
  <c r="HT20" i="10"/>
  <c r="HR20" i="10"/>
  <c r="HP20" i="10"/>
  <c r="HN20" i="10"/>
  <c r="HL20" i="10"/>
  <c r="HJ20" i="10"/>
  <c r="HH20" i="10"/>
  <c r="HF20" i="10"/>
  <c r="HD20" i="10"/>
  <c r="HB20" i="10"/>
  <c r="GZ20" i="10"/>
  <c r="GX20" i="10"/>
  <c r="GV20" i="10"/>
  <c r="GT20" i="10"/>
  <c r="GR20" i="10"/>
  <c r="GP20" i="10"/>
  <c r="GN20" i="10"/>
  <c r="GL20" i="10"/>
  <c r="GJ20" i="10"/>
  <c r="GH20" i="10"/>
  <c r="GF20" i="10"/>
  <c r="GD20" i="10"/>
  <c r="GB20" i="10"/>
  <c r="FZ20" i="10"/>
  <c r="FX20" i="10"/>
  <c r="FV20" i="10"/>
  <c r="FT20" i="10"/>
  <c r="FR20" i="10"/>
  <c r="FP20" i="10"/>
  <c r="FN20" i="10"/>
  <c r="FL20" i="10"/>
  <c r="FJ20" i="10"/>
  <c r="FH20" i="10"/>
  <c r="FF20" i="10"/>
  <c r="FD20" i="10"/>
  <c r="FB20" i="10"/>
  <c r="EZ20" i="10"/>
  <c r="EX20" i="10"/>
  <c r="EV20" i="10"/>
  <c r="ET20" i="10"/>
  <c r="ER20" i="10"/>
  <c r="EP20" i="10"/>
  <c r="EN20" i="10"/>
  <c r="EL20" i="10"/>
  <c r="EJ20" i="10"/>
  <c r="EH20" i="10"/>
  <c r="EF20" i="10"/>
  <c r="ED20" i="10"/>
  <c r="EB20" i="10"/>
  <c r="DZ20" i="10"/>
  <c r="DX20" i="10"/>
  <c r="DV20" i="10"/>
  <c r="DT20" i="10"/>
  <c r="DR20" i="10"/>
  <c r="DP20" i="10"/>
  <c r="DN20" i="10"/>
  <c r="DL20" i="10"/>
  <c r="DJ20" i="10"/>
  <c r="DH20" i="10"/>
  <c r="DF20" i="10"/>
  <c r="DD20" i="10"/>
  <c r="DB20" i="10"/>
  <c r="CZ20" i="10"/>
  <c r="CX20" i="10"/>
  <c r="CV20" i="10"/>
  <c r="CT20" i="10"/>
  <c r="CR20" i="10"/>
  <c r="CP20" i="10"/>
  <c r="CN20" i="10"/>
  <c r="CL20" i="10"/>
  <c r="CJ20" i="10"/>
  <c r="CH20" i="10"/>
  <c r="CF20" i="10"/>
  <c r="CD20" i="10"/>
  <c r="CB20" i="10"/>
  <c r="BZ20" i="10"/>
  <c r="BX20" i="10"/>
  <c r="BV20" i="10"/>
  <c r="BT20" i="10"/>
  <c r="BR20" i="10"/>
  <c r="BP20" i="10"/>
  <c r="BN20" i="10"/>
  <c r="BL20" i="10"/>
  <c r="BJ20" i="10"/>
  <c r="BH20" i="10"/>
  <c r="BF20" i="10"/>
  <c r="BD20" i="10"/>
  <c r="BB20" i="10"/>
  <c r="AZ20" i="10"/>
  <c r="AX20" i="10"/>
  <c r="AV20" i="10"/>
  <c r="AT20" i="10"/>
  <c r="AR20" i="10"/>
  <c r="AP20" i="10"/>
  <c r="AN20" i="10"/>
  <c r="AL20" i="10"/>
  <c r="IV13" i="10"/>
  <c r="IT13" i="10"/>
  <c r="IR13" i="10"/>
  <c r="IP13" i="10"/>
  <c r="IN13" i="10"/>
  <c r="IL13" i="10"/>
  <c r="IJ13" i="10"/>
  <c r="IH13" i="10"/>
  <c r="IF13" i="10"/>
  <c r="ID13" i="10"/>
  <c r="IB13" i="10"/>
  <c r="HZ13" i="10"/>
  <c r="HX13" i="10"/>
  <c r="HV13" i="10"/>
  <c r="HT13" i="10"/>
  <c r="HR13" i="10"/>
  <c r="HP13" i="10"/>
  <c r="HN13" i="10"/>
  <c r="HL13" i="10"/>
  <c r="HJ13" i="10"/>
  <c r="HH13" i="10"/>
  <c r="HF13" i="10"/>
  <c r="HD13" i="10"/>
  <c r="HB13" i="10"/>
  <c r="GZ13" i="10"/>
  <c r="GX13" i="10"/>
  <c r="GV13" i="10"/>
  <c r="GT13" i="10"/>
  <c r="GR13" i="10"/>
  <c r="GP13" i="10"/>
  <c r="GN13" i="10"/>
  <c r="GL13" i="10"/>
  <c r="GJ13" i="10"/>
  <c r="GH13" i="10"/>
  <c r="GF13" i="10"/>
  <c r="GD13" i="10"/>
  <c r="GB13" i="10"/>
  <c r="FZ13" i="10"/>
  <c r="FX13" i="10"/>
  <c r="FV13" i="10"/>
  <c r="FT13" i="10"/>
  <c r="FR13" i="10"/>
  <c r="FP13" i="10"/>
  <c r="FN13" i="10"/>
  <c r="FL13" i="10"/>
  <c r="FJ13" i="10"/>
  <c r="FH13" i="10"/>
  <c r="FF13" i="10"/>
  <c r="FD13" i="10"/>
  <c r="FB13" i="10"/>
  <c r="EZ13" i="10"/>
  <c r="EX13" i="10"/>
  <c r="EV13" i="10"/>
  <c r="ET13" i="10"/>
  <c r="ER13" i="10"/>
  <c r="EP13" i="10"/>
  <c r="EN13" i="10"/>
  <c r="EL13" i="10"/>
  <c r="EJ13" i="10"/>
  <c r="EH13" i="10"/>
  <c r="EF13" i="10"/>
  <c r="ED13" i="10"/>
  <c r="EB13" i="10"/>
  <c r="DZ13" i="10"/>
  <c r="DX13" i="10"/>
  <c r="DV13" i="10"/>
  <c r="DT13" i="10"/>
  <c r="DR13" i="10"/>
  <c r="DP13" i="10"/>
  <c r="DN13" i="10"/>
  <c r="DL13" i="10"/>
  <c r="DJ13" i="10"/>
  <c r="DH13" i="10"/>
  <c r="DF13" i="10"/>
  <c r="DD13" i="10"/>
  <c r="DB13" i="10"/>
  <c r="CZ13" i="10"/>
  <c r="CX13" i="10"/>
  <c r="CV13" i="10"/>
  <c r="CT13" i="10"/>
  <c r="CR13" i="10"/>
  <c r="CP13" i="10"/>
  <c r="CN13" i="10"/>
  <c r="CL13" i="10"/>
  <c r="CJ13" i="10"/>
  <c r="CH13" i="10"/>
  <c r="CF13" i="10"/>
  <c r="CD13" i="10"/>
  <c r="CB13" i="10"/>
  <c r="BZ13" i="10"/>
  <c r="BX13" i="10"/>
  <c r="BV13" i="10"/>
  <c r="BT13" i="10"/>
  <c r="BR13" i="10"/>
  <c r="BP13" i="10"/>
  <c r="BN13" i="10"/>
  <c r="BL13" i="10"/>
  <c r="BJ13" i="10"/>
  <c r="BH13" i="10"/>
  <c r="BF13" i="10"/>
  <c r="BD13" i="10"/>
  <c r="BB13" i="10"/>
  <c r="AZ13" i="10"/>
  <c r="AX13" i="10"/>
  <c r="AV13" i="10"/>
  <c r="AT13" i="10"/>
  <c r="AR13" i="10"/>
  <c r="AP13" i="10"/>
  <c r="AN13" i="10"/>
  <c r="AL13" i="10"/>
  <c r="C19" i="9"/>
  <c r="E19" i="9" s="1"/>
  <c r="D16" i="8"/>
  <c r="C16" i="8"/>
  <c r="E16" i="8" s="1"/>
  <c r="D20" i="7"/>
  <c r="G20" i="7"/>
  <c r="L25" i="2"/>
  <c r="I29" i="9"/>
  <c r="C18" i="6"/>
  <c r="E18" i="6" s="1"/>
  <c r="D18" i="6"/>
  <c r="C18" i="12"/>
  <c r="D18" i="12"/>
  <c r="L8" i="12"/>
  <c r="D20" i="2"/>
  <c r="E20" i="2"/>
  <c r="F11" i="14" l="1"/>
  <c r="G14" i="14"/>
  <c r="H14" i="14"/>
  <c r="H9" i="14"/>
  <c r="H8" i="14"/>
  <c r="H12" i="14"/>
  <c r="G3" i="14"/>
  <c r="H3" i="14" s="1"/>
  <c r="G13" i="14"/>
  <c r="H13" i="14" s="1"/>
  <c r="G5" i="14"/>
  <c r="H5" i="14" s="1"/>
  <c r="F7" i="14"/>
  <c r="F10" i="14" s="1"/>
  <c r="F6" i="14"/>
  <c r="B29" i="13"/>
  <c r="E18" i="12"/>
  <c r="B31" i="12"/>
  <c r="F17" i="14" l="1"/>
  <c r="N15" i="14" s="1"/>
  <c r="F15" i="14"/>
  <c r="G11" i="14"/>
  <c r="G15" i="14" s="1"/>
  <c r="G7" i="14"/>
  <c r="G10" i="14" s="1"/>
  <c r="G2" i="14"/>
  <c r="G17" i="14" l="1"/>
  <c r="O15" i="14" s="1"/>
  <c r="G6" i="14"/>
  <c r="H2" i="14"/>
  <c r="H11" i="14"/>
  <c r="H15" i="14" s="1"/>
  <c r="H7" i="14"/>
  <c r="H10" i="14" s="1"/>
  <c r="H6" i="14" l="1"/>
  <c r="H17" i="14"/>
  <c r="H18" i="14" s="1"/>
</calcChain>
</file>

<file path=xl/sharedStrings.xml><?xml version="1.0" encoding="utf-8"?>
<sst xmlns="http://schemas.openxmlformats.org/spreadsheetml/2006/main" count="2515" uniqueCount="53">
  <si>
    <t>المرتب</t>
  </si>
  <si>
    <t>د/السعدني</t>
  </si>
  <si>
    <t>د/كريم</t>
  </si>
  <si>
    <t>د/محمد</t>
  </si>
  <si>
    <t>د/احمد عيسي</t>
  </si>
  <si>
    <t>د/سعيد</t>
  </si>
  <si>
    <t>الاجمالي</t>
  </si>
  <si>
    <t>هدير</t>
  </si>
  <si>
    <t xml:space="preserve">داليا </t>
  </si>
  <si>
    <t>مصطفي طه</t>
  </si>
  <si>
    <t>محمود</t>
  </si>
  <si>
    <t>ريهام</t>
  </si>
  <si>
    <t>مصطفي السعدني</t>
  </si>
  <si>
    <t>مدام/سعاد</t>
  </si>
  <si>
    <t>مصطفي الشناوي</t>
  </si>
  <si>
    <t>اميمة حجازي</t>
  </si>
  <si>
    <t>أ/أسامة سليم</t>
  </si>
  <si>
    <t xml:space="preserve">أ/أشرف </t>
  </si>
  <si>
    <t>أ/محمد ابو الهنا</t>
  </si>
  <si>
    <t>الموظف</t>
  </si>
  <si>
    <t>ميادة</t>
  </si>
  <si>
    <t xml:space="preserve"> </t>
  </si>
  <si>
    <t>مروة</t>
  </si>
  <si>
    <t>د/شيماء</t>
  </si>
  <si>
    <t>صافي</t>
  </si>
  <si>
    <t>د/سما</t>
  </si>
  <si>
    <t>ايمان</t>
  </si>
  <si>
    <t>د سما</t>
  </si>
  <si>
    <t>اسلام</t>
  </si>
  <si>
    <t>شيرين</t>
  </si>
  <si>
    <t>عمر</t>
  </si>
  <si>
    <t>سارة</t>
  </si>
  <si>
    <t>ايمان ياسر</t>
  </si>
  <si>
    <t>ايمان طاهر</t>
  </si>
  <si>
    <t>ليها470</t>
  </si>
  <si>
    <t>رامز</t>
  </si>
  <si>
    <t>د/عمر</t>
  </si>
  <si>
    <t>نسبة الحضور</t>
  </si>
  <si>
    <t>الإجمالي</t>
  </si>
  <si>
    <t>الحالي</t>
  </si>
  <si>
    <t>فني</t>
  </si>
  <si>
    <t>طبيب</t>
  </si>
  <si>
    <t>الجديد</t>
  </si>
  <si>
    <t>شفتات</t>
  </si>
  <si>
    <t>زيادة المرتبات</t>
  </si>
  <si>
    <t>زيادة النسب</t>
  </si>
  <si>
    <t>اجمالي الزياده</t>
  </si>
  <si>
    <t>20% الزياده</t>
  </si>
  <si>
    <t>مرتبات</t>
  </si>
  <si>
    <t>اجمالي</t>
  </si>
  <si>
    <t>اجمالي الشفتات</t>
  </si>
  <si>
    <t>الشفت</t>
  </si>
  <si>
    <t>النسب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</si>
</sst>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name val="Arial"/>
      <charset val="178"/>
    </font>
    <font>
      <b/>
      <sz val="14"/>
      <name val="Arial"/>
      <family val="2"/>
    </font>
    <font>
      <b/>
      <sz val="18"/>
      <color indexed="10"/>
      <name val="Arial"/>
      <family val="2"/>
    </font>
    <font>
      <b/>
      <sz val="16"/>
      <color indexed="10"/>
      <name val="Arial"/>
      <family val="2"/>
    </font>
    <font>
      <b/>
      <sz val="20"/>
      <name val="Arial"/>
      <family val="2"/>
    </font>
    <font>
      <b/>
      <sz val="20"/>
      <color indexed="12"/>
      <name val="Arial"/>
      <family val="2"/>
    </font>
    <font>
      <b/>
      <sz val="14"/>
      <color indexed="8"/>
      <name val="Arial"/>
      <family val="2"/>
    </font>
    <font>
      <sz val="8"/>
      <name val="Arial"/>
      <family val="2"/>
    </font>
    <font>
      <b/>
      <sz val="12"/>
      <color indexed="10"/>
      <name val="Arial"/>
      <family val="2"/>
    </font>
    <font>
      <b/>
      <sz val="14"/>
      <color indexed="12"/>
      <name val="Arial"/>
      <family val="2"/>
    </font>
    <font>
      <sz val="10"/>
      <color indexed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10"/>
      <name val="Arial"/>
      <family val="2"/>
    </font>
    <font>
      <sz val="14"/>
      <name val="Arial"/>
      <family val="2"/>
    </font>
    <font>
      <sz val="14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3" fillId="0" borderId="3" xfId="0" applyFont="1" applyBorder="1"/>
    <xf numFmtId="0" fontId="3" fillId="0" borderId="4" xfId="0" applyFont="1" applyBorder="1"/>
    <xf numFmtId="0" fontId="4" fillId="0" borderId="5" xfId="0" applyFont="1" applyBorder="1"/>
    <xf numFmtId="0" fontId="5" fillId="0" borderId="6" xfId="0" applyFont="1" applyBorder="1"/>
    <xf numFmtId="0" fontId="6" fillId="0" borderId="4" xfId="0" applyFont="1" applyBorder="1"/>
    <xf numFmtId="0" fontId="8" fillId="0" borderId="0" xfId="0" applyFont="1"/>
    <xf numFmtId="0" fontId="0" fillId="0" borderId="0" xfId="0" applyAlignment="1">
      <alignment readingOrder="1"/>
    </xf>
    <xf numFmtId="0" fontId="10" fillId="0" borderId="0" xfId="0" applyFont="1"/>
    <xf numFmtId="0" fontId="3" fillId="0" borderId="0" xfId="0" applyFont="1"/>
    <xf numFmtId="0" fontId="11" fillId="0" borderId="0" xfId="0" applyFont="1"/>
    <xf numFmtId="0" fontId="6" fillId="0" borderId="7" xfId="0" applyFont="1" applyBorder="1"/>
    <xf numFmtId="0" fontId="3" fillId="0" borderId="7" xfId="0" applyFont="1" applyBorder="1"/>
    <xf numFmtId="0" fontId="1" fillId="0" borderId="7" xfId="0" applyFont="1" applyBorder="1"/>
    <xf numFmtId="0" fontId="1" fillId="0" borderId="0" xfId="0" applyFont="1"/>
    <xf numFmtId="0" fontId="6" fillId="0" borderId="0" xfId="0" applyFont="1"/>
    <xf numFmtId="0" fontId="6" fillId="2" borderId="4" xfId="0" applyFont="1" applyFill="1" applyBorder="1"/>
    <xf numFmtId="0" fontId="3" fillId="0" borderId="8" xfId="0" applyFont="1" applyBorder="1"/>
    <xf numFmtId="0" fontId="1" fillId="0" borderId="8" xfId="0" applyFont="1" applyBorder="1"/>
    <xf numFmtId="0" fontId="2" fillId="0" borderId="8" xfId="0" applyFont="1" applyBorder="1"/>
    <xf numFmtId="0" fontId="6" fillId="0" borderId="8" xfId="0" applyFont="1" applyBorder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6" fillId="0" borderId="0" xfId="0" applyFont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16" fillId="5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9" fontId="16" fillId="0" borderId="8" xfId="0" applyNumberFormat="1" applyFont="1" applyBorder="1" applyAlignment="1">
      <alignment horizontal="center" vertical="center"/>
    </xf>
    <xf numFmtId="0" fontId="16" fillId="3" borderId="8" xfId="0" applyFont="1" applyFill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16" fillId="4" borderId="8" xfId="0" applyFont="1" applyFill="1" applyBorder="1" applyAlignment="1">
      <alignment horizontal="center" vertical="center"/>
    </xf>
    <xf numFmtId="0" fontId="17" fillId="4" borderId="0" xfId="0" applyFont="1" applyFill="1" applyAlignment="1">
      <alignment horizontal="center" vertical="center"/>
    </xf>
    <xf numFmtId="0" fontId="16" fillId="0" borderId="9" xfId="0" applyFont="1" applyBorder="1" applyAlignment="1">
      <alignment vertical="center"/>
    </xf>
    <xf numFmtId="0" fontId="9" fillId="0" borderId="0" xfId="0" applyFont="1" applyAlignment="1">
      <alignment horizontal="center"/>
    </xf>
    <xf numFmtId="0" fontId="16" fillId="0" borderId="8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F4A1D-701C-4A92-A8A8-D376AB8C1ECE}">
  <sheetPr codeName="Sheet1"/>
  <dimension ref="A1:K33"/>
  <sheetViews>
    <sheetView rightToLeft="1" workbookViewId="0">
      <selection activeCell="A19" sqref="A19"/>
    </sheetView>
  </sheetViews>
  <sheetFormatPr defaultRowHeight="12.45" x14ac:dyDescent="0.3"/>
  <cols>
    <col min="1" max="1" width="24.15234375" customWidth="1"/>
    <col min="2" max="2" width="36" customWidth="1"/>
    <col min="5" max="5" width="11.53515625" customWidth="1"/>
    <col min="6" max="6" width="11.84375" customWidth="1"/>
    <col min="7" max="7" width="11.53515625" customWidth="1"/>
  </cols>
  <sheetData>
    <row r="1" spans="1:11" ht="29.25" customHeight="1" x14ac:dyDescent="0.55000000000000004">
      <c r="A1" s="1" t="s">
        <v>19</v>
      </c>
      <c r="B1" s="2" t="s">
        <v>0</v>
      </c>
    </row>
    <row r="2" spans="1:11" ht="20.149999999999999" customHeight="1" x14ac:dyDescent="0.4">
      <c r="A2" s="3" t="s">
        <v>1</v>
      </c>
      <c r="B2" s="9">
        <v>5000</v>
      </c>
    </row>
    <row r="3" spans="1:11" ht="20.149999999999999" customHeight="1" x14ac:dyDescent="0.4">
      <c r="A3" s="3" t="s">
        <v>2</v>
      </c>
      <c r="B3" s="9">
        <v>2574</v>
      </c>
    </row>
    <row r="4" spans="1:11" ht="20.149999999999999" customHeight="1" x14ac:dyDescent="0.4">
      <c r="A4" s="3" t="s">
        <v>3</v>
      </c>
      <c r="B4" s="9">
        <v>2430</v>
      </c>
    </row>
    <row r="5" spans="1:11" ht="20.149999999999999" customHeight="1" x14ac:dyDescent="0.4">
      <c r="A5" s="3" t="s">
        <v>4</v>
      </c>
      <c r="B5" s="9">
        <v>2448</v>
      </c>
    </row>
    <row r="6" spans="1:11" ht="20.149999999999999" customHeight="1" x14ac:dyDescent="0.4">
      <c r="A6" s="3" t="s">
        <v>5</v>
      </c>
      <c r="B6" s="9">
        <v>2749.5</v>
      </c>
    </row>
    <row r="7" spans="1:11" ht="20.149999999999999" customHeight="1" x14ac:dyDescent="0.4">
      <c r="A7" s="3" t="s">
        <v>25</v>
      </c>
      <c r="B7" s="9">
        <v>1833</v>
      </c>
    </row>
    <row r="8" spans="1:11" ht="20.149999999999999" customHeight="1" x14ac:dyDescent="0.5">
      <c r="A8" s="5" t="s">
        <v>6</v>
      </c>
      <c r="B8" s="6">
        <f>SUM(B2:B7)</f>
        <v>17034.5</v>
      </c>
    </row>
    <row r="9" spans="1:11" ht="30" customHeight="1" x14ac:dyDescent="0.4">
      <c r="A9" s="3" t="s">
        <v>28</v>
      </c>
      <c r="B9" s="9">
        <v>4668</v>
      </c>
    </row>
    <row r="10" spans="1:11" ht="20.149999999999999" customHeight="1" x14ac:dyDescent="0.4">
      <c r="A10" s="3" t="s">
        <v>10</v>
      </c>
      <c r="B10" s="9">
        <v>5270</v>
      </c>
      <c r="D10">
        <v>500</v>
      </c>
    </row>
    <row r="11" spans="1:11" ht="20.149999999999999" customHeight="1" x14ac:dyDescent="0.5">
      <c r="A11" s="5" t="s">
        <v>6</v>
      </c>
      <c r="B11" s="6">
        <f>SUM(B9:B10)</f>
        <v>9938</v>
      </c>
    </row>
    <row r="12" spans="1:11" ht="20.149999999999999" customHeight="1" x14ac:dyDescent="0.4">
      <c r="A12" s="3" t="s">
        <v>24</v>
      </c>
      <c r="B12" s="4">
        <v>1449</v>
      </c>
    </row>
    <row r="13" spans="1:11" ht="25.5" customHeight="1" x14ac:dyDescent="0.4">
      <c r="A13" s="3" t="s">
        <v>7</v>
      </c>
      <c r="B13" s="4">
        <v>2175</v>
      </c>
      <c r="C13">
        <f>SUM(C1:C12)</f>
        <v>0</v>
      </c>
      <c r="D13">
        <f>SUM(D1:D12)</f>
        <v>500</v>
      </c>
      <c r="E13">
        <f>SUM(C13:D13)</f>
        <v>500</v>
      </c>
      <c r="K13" t="s">
        <v>21</v>
      </c>
    </row>
    <row r="14" spans="1:11" ht="20.149999999999999" customHeight="1" x14ac:dyDescent="0.4">
      <c r="A14" s="3" t="s">
        <v>33</v>
      </c>
      <c r="B14" s="4">
        <v>1969</v>
      </c>
    </row>
    <row r="15" spans="1:11" ht="20.149999999999999" customHeight="1" x14ac:dyDescent="0.4">
      <c r="A15" s="3" t="s">
        <v>20</v>
      </c>
      <c r="B15" s="4">
        <v>1920</v>
      </c>
    </row>
    <row r="16" spans="1:11" ht="20.149999999999999" customHeight="1" x14ac:dyDescent="0.4">
      <c r="A16" s="3" t="s">
        <v>32</v>
      </c>
      <c r="B16" s="4">
        <v>1250</v>
      </c>
    </row>
    <row r="17" spans="1:11" ht="20.149999999999999" customHeight="1" x14ac:dyDescent="0.5">
      <c r="A17" s="5" t="s">
        <v>6</v>
      </c>
      <c r="B17" s="6">
        <f>SUM(B12:B16)</f>
        <v>8763</v>
      </c>
    </row>
    <row r="18" spans="1:11" ht="37.5" customHeight="1" x14ac:dyDescent="0.4">
      <c r="A18" s="3" t="s">
        <v>22</v>
      </c>
      <c r="B18" s="9">
        <v>2543</v>
      </c>
    </row>
    <row r="19" spans="1:11" ht="20.149999999999999" customHeight="1" x14ac:dyDescent="0.4">
      <c r="A19" s="3" t="s">
        <v>8</v>
      </c>
      <c r="B19" s="9">
        <v>2527</v>
      </c>
    </row>
    <row r="20" spans="1:11" ht="20.149999999999999" customHeight="1" x14ac:dyDescent="0.4">
      <c r="A20" s="3" t="s">
        <v>9</v>
      </c>
      <c r="B20" s="9">
        <v>2395</v>
      </c>
    </row>
    <row r="21" spans="1:11" ht="20.149999999999999" customHeight="1" x14ac:dyDescent="0.4">
      <c r="A21" s="3" t="s">
        <v>11</v>
      </c>
      <c r="B21" s="9">
        <v>1724</v>
      </c>
    </row>
    <row r="22" spans="1:11" ht="20.149999999999999" customHeight="1" x14ac:dyDescent="0.5">
      <c r="A22" s="5" t="s">
        <v>6</v>
      </c>
      <c r="B22" s="6">
        <f>SUM(B18:B21)</f>
        <v>9189</v>
      </c>
    </row>
    <row r="23" spans="1:11" ht="20.149999999999999" customHeight="1" x14ac:dyDescent="0.4">
      <c r="A23" s="3" t="s">
        <v>12</v>
      </c>
      <c r="B23" s="9">
        <v>8320</v>
      </c>
      <c r="K23">
        <v>43230</v>
      </c>
    </row>
    <row r="24" spans="1:11" ht="30.75" customHeight="1" x14ac:dyDescent="0.4">
      <c r="A24" s="3" t="s">
        <v>13</v>
      </c>
      <c r="B24" s="9">
        <v>4850</v>
      </c>
      <c r="K24">
        <v>3050</v>
      </c>
    </row>
    <row r="25" spans="1:11" ht="20.149999999999999" customHeight="1" x14ac:dyDescent="0.4">
      <c r="A25" s="3" t="s">
        <v>14</v>
      </c>
      <c r="B25" s="9">
        <v>3772</v>
      </c>
      <c r="K25">
        <v>21473</v>
      </c>
    </row>
    <row r="26" spans="1:11" ht="20.149999999999999" customHeight="1" x14ac:dyDescent="0.4">
      <c r="A26" s="3" t="s">
        <v>15</v>
      </c>
      <c r="B26" s="9">
        <v>2886</v>
      </c>
      <c r="K26">
        <f>SUM(K23:K25)</f>
        <v>67753</v>
      </c>
    </row>
    <row r="27" spans="1:11" ht="20.149999999999999" customHeight="1" x14ac:dyDescent="0.4">
      <c r="A27" s="3" t="s">
        <v>31</v>
      </c>
      <c r="B27" s="9">
        <v>1000</v>
      </c>
    </row>
    <row r="28" spans="1:11" ht="20.149999999999999" customHeight="1" x14ac:dyDescent="0.5">
      <c r="A28" s="5" t="s">
        <v>6</v>
      </c>
      <c r="B28" s="6">
        <f>SUM(B23:B27)</f>
        <v>20828</v>
      </c>
    </row>
    <row r="29" spans="1:11" ht="29.25" customHeight="1" x14ac:dyDescent="0.4">
      <c r="A29" s="3" t="s">
        <v>16</v>
      </c>
      <c r="B29" s="9">
        <v>1500</v>
      </c>
    </row>
    <row r="30" spans="1:11" ht="20.149999999999999" customHeight="1" x14ac:dyDescent="0.4">
      <c r="A30" s="3" t="s">
        <v>17</v>
      </c>
      <c r="B30" s="9">
        <v>250</v>
      </c>
    </row>
    <row r="31" spans="1:11" ht="20.149999999999999" customHeight="1" x14ac:dyDescent="0.4">
      <c r="A31" s="3" t="s">
        <v>18</v>
      </c>
      <c r="B31" s="9">
        <v>250</v>
      </c>
      <c r="I31">
        <v>29714.3</v>
      </c>
    </row>
    <row r="32" spans="1:11" ht="20.149999999999999" customHeight="1" x14ac:dyDescent="0.5">
      <c r="A32" s="5" t="s">
        <v>6</v>
      </c>
      <c r="B32" s="6">
        <f>SUM(B29:B31)</f>
        <v>2000</v>
      </c>
      <c r="I32">
        <v>3450</v>
      </c>
    </row>
    <row r="33" spans="1:9" ht="33" customHeight="1" thickBot="1" x14ac:dyDescent="0.65">
      <c r="A33" s="7" t="s">
        <v>6</v>
      </c>
      <c r="B33" s="8">
        <f>SUM(B32+B28+B22+B17+B11+B8)</f>
        <v>67752.5</v>
      </c>
      <c r="I33">
        <v>19599.75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79039-E162-453C-ACCF-6B3ADB34ECA4}">
  <sheetPr codeName="Sheet2"/>
  <dimension ref="A1:L33"/>
  <sheetViews>
    <sheetView rightToLeft="1" workbookViewId="0">
      <selection activeCell="F14" sqref="F14"/>
    </sheetView>
  </sheetViews>
  <sheetFormatPr defaultRowHeight="12.45" x14ac:dyDescent="0.3"/>
  <cols>
    <col min="1" max="1" width="16.69140625" customWidth="1"/>
    <col min="2" max="2" width="25.3046875" customWidth="1"/>
  </cols>
  <sheetData>
    <row r="1" spans="1:6" ht="22.75" x14ac:dyDescent="0.55000000000000004">
      <c r="A1" s="1" t="s">
        <v>19</v>
      </c>
      <c r="B1" s="2" t="s">
        <v>0</v>
      </c>
    </row>
    <row r="2" spans="1:6" ht="17.600000000000001" x14ac:dyDescent="0.4">
      <c r="A2" s="3" t="s">
        <v>1</v>
      </c>
      <c r="B2" s="9">
        <v>5000</v>
      </c>
    </row>
    <row r="3" spans="1:6" ht="17.600000000000001" x14ac:dyDescent="0.4">
      <c r="A3" s="3" t="s">
        <v>2</v>
      </c>
      <c r="B3" s="9">
        <v>2574</v>
      </c>
    </row>
    <row r="4" spans="1:6" ht="17.600000000000001" x14ac:dyDescent="0.4">
      <c r="A4" s="3" t="s">
        <v>3</v>
      </c>
      <c r="B4" s="9">
        <v>2430.5</v>
      </c>
    </row>
    <row r="5" spans="1:6" ht="17.600000000000001" x14ac:dyDescent="0.4">
      <c r="A5" s="3" t="s">
        <v>4</v>
      </c>
      <c r="B5" s="9">
        <v>2754</v>
      </c>
    </row>
    <row r="6" spans="1:6" ht="17.600000000000001" x14ac:dyDescent="0.4">
      <c r="A6" s="3" t="s">
        <v>5</v>
      </c>
      <c r="B6" s="9">
        <v>2961</v>
      </c>
    </row>
    <row r="7" spans="1:6" ht="17.600000000000001" x14ac:dyDescent="0.4">
      <c r="A7" s="3" t="s">
        <v>25</v>
      </c>
      <c r="B7" s="9">
        <v>1692</v>
      </c>
    </row>
    <row r="8" spans="1:6" ht="20.149999999999999" x14ac:dyDescent="0.5">
      <c r="A8" s="5" t="s">
        <v>6</v>
      </c>
      <c r="B8" s="6">
        <f>SUM(B2:B7)</f>
        <v>17411.5</v>
      </c>
    </row>
    <row r="9" spans="1:6" ht="17.600000000000001" x14ac:dyDescent="0.4">
      <c r="A9" s="3" t="s">
        <v>28</v>
      </c>
      <c r="B9" s="9">
        <v>5448</v>
      </c>
    </row>
    <row r="10" spans="1:6" ht="17.600000000000001" x14ac:dyDescent="0.4">
      <c r="A10" s="3" t="s">
        <v>10</v>
      </c>
      <c r="B10" s="9">
        <v>5412</v>
      </c>
      <c r="D10">
        <v>500</v>
      </c>
    </row>
    <row r="11" spans="1:6" ht="20.149999999999999" x14ac:dyDescent="0.5">
      <c r="A11" s="5" t="s">
        <v>6</v>
      </c>
      <c r="B11" s="6">
        <f>SUM(B9:B10)</f>
        <v>10860</v>
      </c>
      <c r="F11" s="11"/>
    </row>
    <row r="12" spans="1:6" ht="17.600000000000001" x14ac:dyDescent="0.4">
      <c r="A12" s="3" t="s">
        <v>24</v>
      </c>
      <c r="B12" s="4">
        <v>1449</v>
      </c>
      <c r="D12" s="11"/>
    </row>
    <row r="13" spans="1:6" ht="17.600000000000001" x14ac:dyDescent="0.4">
      <c r="A13" s="3" t="s">
        <v>7</v>
      </c>
      <c r="B13" s="4">
        <v>2175</v>
      </c>
      <c r="D13" s="11"/>
    </row>
    <row r="14" spans="1:6" ht="17.600000000000001" x14ac:dyDescent="0.4">
      <c r="A14" s="3" t="s">
        <v>33</v>
      </c>
      <c r="B14" s="4">
        <v>1969</v>
      </c>
      <c r="D14" s="11"/>
    </row>
    <row r="15" spans="1:6" ht="17.600000000000001" x14ac:dyDescent="0.4">
      <c r="A15" s="3" t="s">
        <v>20</v>
      </c>
      <c r="B15" s="4">
        <v>1920</v>
      </c>
      <c r="D15" s="11"/>
    </row>
    <row r="16" spans="1:6" ht="17.600000000000001" x14ac:dyDescent="0.4">
      <c r="A16" s="3" t="s">
        <v>32</v>
      </c>
      <c r="B16" s="4">
        <v>1250</v>
      </c>
      <c r="D16" s="11"/>
    </row>
    <row r="17" spans="1:12" ht="20.149999999999999" x14ac:dyDescent="0.5">
      <c r="A17" s="5" t="s">
        <v>6</v>
      </c>
      <c r="B17" s="6">
        <f>SUM(B12:B16)</f>
        <v>8763</v>
      </c>
      <c r="D17" s="11"/>
    </row>
    <row r="18" spans="1:12" ht="17.600000000000001" x14ac:dyDescent="0.4">
      <c r="A18" s="3" t="s">
        <v>22</v>
      </c>
      <c r="B18" s="9">
        <v>2543</v>
      </c>
    </row>
    <row r="19" spans="1:12" ht="17.600000000000001" x14ac:dyDescent="0.4">
      <c r="A19" s="3" t="s">
        <v>8</v>
      </c>
      <c r="B19" s="9">
        <v>2527</v>
      </c>
    </row>
    <row r="20" spans="1:12" ht="17.600000000000001" x14ac:dyDescent="0.4">
      <c r="A20" s="3" t="s">
        <v>9</v>
      </c>
      <c r="B20" s="9">
        <v>2395</v>
      </c>
      <c r="C20">
        <f>SUM(C1:C18)</f>
        <v>0</v>
      </c>
      <c r="D20">
        <f>SUM(D1:D19)</f>
        <v>500</v>
      </c>
      <c r="E20">
        <f>SUM(C20:D20)</f>
        <v>500</v>
      </c>
    </row>
    <row r="21" spans="1:12" ht="17.600000000000001" x14ac:dyDescent="0.4">
      <c r="A21" s="3" t="s">
        <v>11</v>
      </c>
      <c r="B21" s="9">
        <v>1724</v>
      </c>
    </row>
    <row r="22" spans="1:12" ht="20.149999999999999" x14ac:dyDescent="0.5">
      <c r="A22" s="5" t="s">
        <v>6</v>
      </c>
      <c r="B22" s="6">
        <f>SUM(B18:B21)</f>
        <v>9189</v>
      </c>
      <c r="L22">
        <v>22771.5</v>
      </c>
    </row>
    <row r="23" spans="1:12" ht="17.600000000000001" x14ac:dyDescent="0.4">
      <c r="A23" s="3" t="s">
        <v>12</v>
      </c>
      <c r="B23" s="9">
        <v>8320</v>
      </c>
      <c r="L23">
        <v>43230</v>
      </c>
    </row>
    <row r="24" spans="1:12" ht="17.600000000000001" x14ac:dyDescent="0.4">
      <c r="A24" s="3" t="s">
        <v>13</v>
      </c>
      <c r="B24" s="9">
        <v>4850</v>
      </c>
      <c r="L24">
        <v>3050</v>
      </c>
    </row>
    <row r="25" spans="1:12" ht="17.600000000000001" x14ac:dyDescent="0.4">
      <c r="A25" s="3" t="s">
        <v>14</v>
      </c>
      <c r="B25" s="9">
        <v>3772</v>
      </c>
      <c r="L25">
        <f>SUM(L22:L24)</f>
        <v>69051.5</v>
      </c>
    </row>
    <row r="26" spans="1:12" ht="17.600000000000001" x14ac:dyDescent="0.4">
      <c r="A26" s="3" t="s">
        <v>15</v>
      </c>
      <c r="B26" s="9">
        <v>2886</v>
      </c>
    </row>
    <row r="27" spans="1:12" ht="17.600000000000001" x14ac:dyDescent="0.4">
      <c r="A27" s="3" t="s">
        <v>31</v>
      </c>
      <c r="B27" s="9">
        <v>1000</v>
      </c>
    </row>
    <row r="28" spans="1:12" ht="20.149999999999999" x14ac:dyDescent="0.5">
      <c r="A28" s="5" t="s">
        <v>6</v>
      </c>
      <c r="B28" s="6">
        <f>SUM(B23:B27)</f>
        <v>20828</v>
      </c>
    </row>
    <row r="29" spans="1:12" ht="17.600000000000001" x14ac:dyDescent="0.4">
      <c r="A29" s="3" t="s">
        <v>16</v>
      </c>
      <c r="B29" s="9">
        <v>1500</v>
      </c>
    </row>
    <row r="30" spans="1:12" ht="17.600000000000001" x14ac:dyDescent="0.4">
      <c r="A30" s="3" t="s">
        <v>17</v>
      </c>
      <c r="B30" s="9">
        <v>250</v>
      </c>
    </row>
    <row r="31" spans="1:12" ht="17.600000000000001" x14ac:dyDescent="0.4">
      <c r="A31" s="3" t="s">
        <v>18</v>
      </c>
      <c r="B31" s="9">
        <v>250</v>
      </c>
    </row>
    <row r="32" spans="1:12" ht="20.149999999999999" x14ac:dyDescent="0.5">
      <c r="A32" s="5" t="s">
        <v>6</v>
      </c>
      <c r="B32" s="6">
        <f>SUM(B29:B31)</f>
        <v>2000</v>
      </c>
    </row>
    <row r="33" spans="1:2" ht="25.75" thickBot="1" x14ac:dyDescent="0.65">
      <c r="A33" s="7" t="s">
        <v>6</v>
      </c>
      <c r="B33" s="8">
        <f>SUM(B32+B28+B22+B17+B11+B8)</f>
        <v>69051.5</v>
      </c>
    </row>
  </sheetData>
  <phoneticPr fontId="7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7C54C-8144-43D2-9E67-21148A49759E}">
  <sheetPr codeName="Sheet3"/>
  <dimension ref="B1:L34"/>
  <sheetViews>
    <sheetView rightToLeft="1" workbookViewId="0">
      <selection activeCell="B1" sqref="B1:I34"/>
    </sheetView>
  </sheetViews>
  <sheetFormatPr defaultRowHeight="12.45" x14ac:dyDescent="0.3"/>
  <cols>
    <col min="1" max="1" width="0.3046875" customWidth="1"/>
    <col min="2" max="2" width="28.3046875" customWidth="1"/>
    <col min="3" max="3" width="27.3046875" customWidth="1"/>
  </cols>
  <sheetData>
    <row r="1" spans="2:12" ht="22.75" x14ac:dyDescent="0.55000000000000004">
      <c r="B1" s="1" t="s">
        <v>19</v>
      </c>
      <c r="C1" s="2" t="s">
        <v>0</v>
      </c>
    </row>
    <row r="2" spans="2:12" ht="17.600000000000001" x14ac:dyDescent="0.4">
      <c r="B2" s="3" t="s">
        <v>1</v>
      </c>
      <c r="C2" s="9">
        <v>5000</v>
      </c>
    </row>
    <row r="3" spans="2:12" ht="17.600000000000001" x14ac:dyDescent="0.4">
      <c r="B3" s="3" t="s">
        <v>2</v>
      </c>
      <c r="C3" s="9">
        <v>1859</v>
      </c>
    </row>
    <row r="4" spans="2:12" ht="17.600000000000001" x14ac:dyDescent="0.4">
      <c r="B4" s="3" t="s">
        <v>3</v>
      </c>
      <c r="C4" s="9">
        <v>2430.5</v>
      </c>
      <c r="L4">
        <v>42813</v>
      </c>
    </row>
    <row r="5" spans="2:12" ht="17.600000000000001" x14ac:dyDescent="0.4">
      <c r="B5" s="3" t="s">
        <v>4</v>
      </c>
      <c r="C5" s="9">
        <v>2448</v>
      </c>
      <c r="L5">
        <v>3050</v>
      </c>
    </row>
    <row r="6" spans="2:12" ht="17.600000000000001" x14ac:dyDescent="0.4">
      <c r="B6" s="3" t="s">
        <v>5</v>
      </c>
      <c r="C6" s="9">
        <v>1457</v>
      </c>
      <c r="L6">
        <v>18170.5</v>
      </c>
    </row>
    <row r="7" spans="2:12" ht="17.600000000000001" x14ac:dyDescent="0.4">
      <c r="B7" s="3" t="s">
        <v>23</v>
      </c>
      <c r="C7" s="9">
        <v>195</v>
      </c>
      <c r="L7">
        <v>0</v>
      </c>
    </row>
    <row r="8" spans="2:12" ht="17.600000000000001" x14ac:dyDescent="0.4">
      <c r="B8" s="3" t="s">
        <v>25</v>
      </c>
      <c r="C8" s="20">
        <v>1081</v>
      </c>
      <c r="D8" t="s">
        <v>34</v>
      </c>
      <c r="L8">
        <v>0</v>
      </c>
    </row>
    <row r="9" spans="2:12" ht="20.149999999999999" x14ac:dyDescent="0.5">
      <c r="B9" s="5" t="s">
        <v>6</v>
      </c>
      <c r="C9" s="6">
        <f>SUM(C2:C8)</f>
        <v>14470.5</v>
      </c>
      <c r="L9">
        <v>0</v>
      </c>
    </row>
    <row r="10" spans="2:12" ht="17.600000000000001" x14ac:dyDescent="0.4">
      <c r="B10" s="3" t="s">
        <v>28</v>
      </c>
      <c r="C10" s="9">
        <v>4356</v>
      </c>
      <c r="L10">
        <f>SUM(L4:L9)</f>
        <v>64033.5</v>
      </c>
    </row>
    <row r="11" spans="2:12" ht="17.600000000000001" x14ac:dyDescent="0.4">
      <c r="B11" s="3" t="s">
        <v>10</v>
      </c>
      <c r="C11" s="9">
        <v>4844</v>
      </c>
    </row>
    <row r="12" spans="2:12" ht="20.149999999999999" x14ac:dyDescent="0.5">
      <c r="B12" s="5" t="s">
        <v>6</v>
      </c>
      <c r="C12" s="6">
        <f>SUM(C10:C11)</f>
        <v>9200</v>
      </c>
    </row>
    <row r="13" spans="2:12" ht="17.600000000000001" x14ac:dyDescent="0.4">
      <c r="B13" s="3" t="s">
        <v>24</v>
      </c>
      <c r="C13" s="4">
        <v>1449</v>
      </c>
    </row>
    <row r="14" spans="2:12" ht="17.600000000000001" x14ac:dyDescent="0.4">
      <c r="B14" s="3" t="s">
        <v>7</v>
      </c>
      <c r="C14" s="4">
        <v>2175</v>
      </c>
    </row>
    <row r="15" spans="2:12" ht="17.600000000000001" x14ac:dyDescent="0.4">
      <c r="B15" s="3" t="s">
        <v>33</v>
      </c>
      <c r="C15" s="4">
        <v>1969</v>
      </c>
      <c r="F15">
        <f>SUM(F1:F14)</f>
        <v>0</v>
      </c>
      <c r="G15">
        <f>SUM(D15:F15)</f>
        <v>0</v>
      </c>
    </row>
    <row r="16" spans="2:12" ht="17.600000000000001" x14ac:dyDescent="0.4">
      <c r="B16" s="3" t="s">
        <v>20</v>
      </c>
      <c r="C16" s="4">
        <v>1920</v>
      </c>
      <c r="D16">
        <f>SUM(D1:D14)</f>
        <v>0</v>
      </c>
      <c r="E16">
        <f>SUM(E1:E15)</f>
        <v>0</v>
      </c>
      <c r="G16" s="10"/>
      <c r="H16" s="40"/>
      <c r="I16" s="40"/>
    </row>
    <row r="17" spans="2:3" ht="17.600000000000001" x14ac:dyDescent="0.4">
      <c r="B17" s="3" t="s">
        <v>32</v>
      </c>
      <c r="C17" s="4">
        <v>833.5</v>
      </c>
    </row>
    <row r="18" spans="2:3" ht="20.149999999999999" x14ac:dyDescent="0.5">
      <c r="B18" s="5" t="s">
        <v>6</v>
      </c>
      <c r="C18" s="6">
        <f>SUM(C13:C17)</f>
        <v>8346.5</v>
      </c>
    </row>
    <row r="19" spans="2:3" ht="17.600000000000001" x14ac:dyDescent="0.4">
      <c r="B19" s="3" t="s">
        <v>22</v>
      </c>
      <c r="C19" s="9">
        <v>2543</v>
      </c>
    </row>
    <row r="20" spans="2:3" ht="17.600000000000001" x14ac:dyDescent="0.4">
      <c r="B20" s="3" t="s">
        <v>8</v>
      </c>
      <c r="C20" s="9">
        <v>2527</v>
      </c>
    </row>
    <row r="21" spans="2:3" ht="17.600000000000001" x14ac:dyDescent="0.4">
      <c r="B21" s="3" t="s">
        <v>9</v>
      </c>
      <c r="C21" s="9">
        <v>2395</v>
      </c>
    </row>
    <row r="22" spans="2:3" ht="17.600000000000001" x14ac:dyDescent="0.4">
      <c r="B22" s="3" t="s">
        <v>11</v>
      </c>
      <c r="C22" s="9">
        <v>1724</v>
      </c>
    </row>
    <row r="23" spans="2:3" ht="20.149999999999999" x14ac:dyDescent="0.5">
      <c r="B23" s="5" t="s">
        <v>6</v>
      </c>
      <c r="C23" s="6">
        <f>SUM(C19:C22)</f>
        <v>9189</v>
      </c>
    </row>
    <row r="24" spans="2:3" ht="17.600000000000001" x14ac:dyDescent="0.4">
      <c r="B24" s="3" t="s">
        <v>12</v>
      </c>
      <c r="C24" s="9">
        <v>8320</v>
      </c>
    </row>
    <row r="25" spans="2:3" ht="17.600000000000001" x14ac:dyDescent="0.4">
      <c r="B25" s="3" t="s">
        <v>13</v>
      </c>
      <c r="C25" s="9">
        <v>4850</v>
      </c>
    </row>
    <row r="26" spans="2:3" ht="17.600000000000001" x14ac:dyDescent="0.4">
      <c r="B26" s="3" t="s">
        <v>14</v>
      </c>
      <c r="C26" s="9">
        <v>3772</v>
      </c>
    </row>
    <row r="27" spans="2:3" ht="17.600000000000001" x14ac:dyDescent="0.4">
      <c r="B27" s="3" t="s">
        <v>15</v>
      </c>
      <c r="C27" s="9">
        <v>2886</v>
      </c>
    </row>
    <row r="28" spans="2:3" ht="17.600000000000001" x14ac:dyDescent="0.4">
      <c r="B28" s="3" t="s">
        <v>31</v>
      </c>
      <c r="C28" s="9">
        <v>1000</v>
      </c>
    </row>
    <row r="29" spans="2:3" ht="20.149999999999999" x14ac:dyDescent="0.5">
      <c r="B29" s="5" t="s">
        <v>6</v>
      </c>
      <c r="C29" s="6">
        <f>SUM(C24:C28)</f>
        <v>20828</v>
      </c>
    </row>
    <row r="30" spans="2:3" ht="17.600000000000001" x14ac:dyDescent="0.4">
      <c r="B30" s="3" t="s">
        <v>16</v>
      </c>
      <c r="C30" s="9">
        <v>1500</v>
      </c>
    </row>
    <row r="31" spans="2:3" ht="17.600000000000001" x14ac:dyDescent="0.4">
      <c r="B31" s="3" t="s">
        <v>17</v>
      </c>
      <c r="C31" s="9">
        <v>250</v>
      </c>
    </row>
    <row r="32" spans="2:3" ht="17.600000000000001" x14ac:dyDescent="0.4">
      <c r="B32" s="3" t="s">
        <v>18</v>
      </c>
      <c r="C32" s="9">
        <v>250</v>
      </c>
    </row>
    <row r="33" spans="2:3" ht="20.149999999999999" x14ac:dyDescent="0.5">
      <c r="B33" s="5" t="s">
        <v>6</v>
      </c>
      <c r="C33" s="6">
        <f>SUM(C30:C32)</f>
        <v>2000</v>
      </c>
    </row>
    <row r="34" spans="2:3" ht="25.75" thickBot="1" x14ac:dyDescent="0.65">
      <c r="B34" s="7" t="s">
        <v>6</v>
      </c>
      <c r="C34" s="8">
        <f>SUM(C33+C29+C23+C18+C12+C9)</f>
        <v>64034</v>
      </c>
    </row>
  </sheetData>
  <mergeCells count="1">
    <mergeCell ref="H16:I16"/>
  </mergeCells>
  <phoneticPr fontId="7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CBCB3-194B-43CC-83F8-745B5ED88832}">
  <sheetPr codeName="Sheet4"/>
  <dimension ref="A1:N34"/>
  <sheetViews>
    <sheetView rightToLeft="1" tabSelected="1" topLeftCell="V1" workbookViewId="0">
      <selection activeCell="N12" sqref="N12"/>
    </sheetView>
  </sheetViews>
  <sheetFormatPr defaultRowHeight="12.45" x14ac:dyDescent="0.3"/>
  <cols>
    <col min="1" max="1" width="23.84375" customWidth="1"/>
    <col min="2" max="2" width="22.15234375" customWidth="1"/>
    <col min="7" max="7" width="14.3046875" customWidth="1"/>
  </cols>
  <sheetData>
    <row r="1" spans="1:14" ht="22.75" x14ac:dyDescent="0.55000000000000004">
      <c r="A1" s="1" t="s">
        <v>19</v>
      </c>
      <c r="B1" s="2" t="s">
        <v>0</v>
      </c>
    </row>
    <row r="2" spans="1:14" ht="17.600000000000001" x14ac:dyDescent="0.4">
      <c r="A2" s="3" t="s">
        <v>1</v>
      </c>
      <c r="B2" s="9">
        <v>5000</v>
      </c>
    </row>
    <row r="3" spans="1:14" ht="17.600000000000001" x14ac:dyDescent="0.4">
      <c r="A3" s="3" t="s">
        <v>2</v>
      </c>
      <c r="B3" s="9">
        <v>1716</v>
      </c>
      <c r="D3">
        <v>128.5</v>
      </c>
    </row>
    <row r="4" spans="1:14" ht="17.600000000000001" x14ac:dyDescent="0.4">
      <c r="A4" s="3" t="s">
        <v>3</v>
      </c>
      <c r="B4" s="9">
        <v>1787</v>
      </c>
    </row>
    <row r="5" spans="1:14" ht="17.600000000000001" x14ac:dyDescent="0.4">
      <c r="A5" s="3" t="s">
        <v>4</v>
      </c>
      <c r="B5" s="9">
        <v>2448</v>
      </c>
    </row>
    <row r="6" spans="1:14" ht="17.600000000000001" x14ac:dyDescent="0.4">
      <c r="A6" s="3" t="s">
        <v>5</v>
      </c>
      <c r="B6" s="9">
        <v>2420.5</v>
      </c>
    </row>
    <row r="7" spans="1:14" ht="17.600000000000001" x14ac:dyDescent="0.4">
      <c r="A7" s="3" t="s">
        <v>30</v>
      </c>
      <c r="B7" s="9">
        <v>128.5</v>
      </c>
      <c r="D7">
        <v>2374</v>
      </c>
    </row>
    <row r="8" spans="1:14" ht="17.600000000000001" x14ac:dyDescent="0.4">
      <c r="A8" s="3" t="s">
        <v>25</v>
      </c>
      <c r="B8" s="9">
        <v>987</v>
      </c>
    </row>
    <row r="9" spans="1:14" ht="20.149999999999999" x14ac:dyDescent="0.5">
      <c r="A9" s="5" t="s">
        <v>6</v>
      </c>
      <c r="B9" s="6">
        <f>SUM(B2:B8)</f>
        <v>14487</v>
      </c>
      <c r="N9">
        <v>2374</v>
      </c>
    </row>
    <row r="10" spans="1:14" ht="17.600000000000001" x14ac:dyDescent="0.4">
      <c r="A10" s="3" t="s">
        <v>28</v>
      </c>
      <c r="B10" s="9">
        <v>4200</v>
      </c>
      <c r="N10">
        <v>1029</v>
      </c>
    </row>
    <row r="11" spans="1:14" ht="17.600000000000001" x14ac:dyDescent="0.4">
      <c r="A11" s="3" t="s">
        <v>10</v>
      </c>
      <c r="B11" s="9">
        <v>4044</v>
      </c>
      <c r="N11">
        <f>SUM(N9:N10)</f>
        <v>3403</v>
      </c>
    </row>
    <row r="12" spans="1:14" ht="20.149999999999999" x14ac:dyDescent="0.5">
      <c r="A12" s="5" t="s">
        <v>6</v>
      </c>
      <c r="B12" s="6">
        <f>SUM(B10:B11)</f>
        <v>8244</v>
      </c>
    </row>
    <row r="13" spans="1:14" ht="17.600000000000001" x14ac:dyDescent="0.4">
      <c r="A13" s="3" t="s">
        <v>24</v>
      </c>
      <c r="B13" s="4">
        <v>1435</v>
      </c>
      <c r="D13">
        <v>500</v>
      </c>
    </row>
    <row r="14" spans="1:14" ht="17.600000000000001" x14ac:dyDescent="0.4">
      <c r="A14" s="3" t="s">
        <v>7</v>
      </c>
      <c r="B14" s="4">
        <v>2175</v>
      </c>
    </row>
    <row r="15" spans="1:14" ht="17.600000000000001" x14ac:dyDescent="0.4">
      <c r="A15" s="3" t="s">
        <v>33</v>
      </c>
      <c r="B15" s="4">
        <v>1969</v>
      </c>
      <c r="C15">
        <f>SUM(C1:C13)</f>
        <v>0</v>
      </c>
      <c r="D15">
        <f>SUM(D1:D14)</f>
        <v>3002.5</v>
      </c>
      <c r="E15">
        <f>SUM(E1:E14)</f>
        <v>0</v>
      </c>
      <c r="F15">
        <f>SUM(C15:E15)</f>
        <v>3002.5</v>
      </c>
    </row>
    <row r="16" spans="1:14" ht="17.600000000000001" x14ac:dyDescent="0.4">
      <c r="A16" s="3" t="s">
        <v>20</v>
      </c>
      <c r="B16" s="4">
        <v>1854</v>
      </c>
      <c r="F16" s="10"/>
      <c r="G16" s="40"/>
      <c r="H16" s="40"/>
    </row>
    <row r="17" spans="1:2" ht="17.600000000000001" x14ac:dyDescent="0.4">
      <c r="A17" s="3" t="s">
        <v>32</v>
      </c>
      <c r="B17" s="4">
        <v>1112</v>
      </c>
    </row>
    <row r="18" spans="1:2" ht="20.149999999999999" x14ac:dyDescent="0.5">
      <c r="A18" s="5" t="s">
        <v>6</v>
      </c>
      <c r="B18" s="6">
        <f>SUM(B13:B17)</f>
        <v>8545</v>
      </c>
    </row>
    <row r="19" spans="1:2" ht="17.600000000000001" x14ac:dyDescent="0.4">
      <c r="A19" s="3" t="s">
        <v>22</v>
      </c>
      <c r="B19" s="9">
        <v>2374</v>
      </c>
    </row>
    <row r="20" spans="1:2" ht="17.600000000000001" x14ac:dyDescent="0.4">
      <c r="A20" s="3" t="s">
        <v>8</v>
      </c>
      <c r="B20" s="9">
        <v>2527</v>
      </c>
    </row>
    <row r="21" spans="1:2" ht="17.600000000000001" x14ac:dyDescent="0.4">
      <c r="A21" s="3" t="s">
        <v>9</v>
      </c>
      <c r="B21" s="9">
        <v>2362</v>
      </c>
    </row>
    <row r="22" spans="1:2" ht="17.600000000000001" x14ac:dyDescent="0.4">
      <c r="A22" s="3" t="s">
        <v>11</v>
      </c>
      <c r="B22" s="9">
        <v>1686</v>
      </c>
    </row>
    <row r="23" spans="1:2" ht="20.149999999999999" x14ac:dyDescent="0.5">
      <c r="A23" s="5" t="s">
        <v>6</v>
      </c>
      <c r="B23" s="6">
        <f>SUM(B19:B22)</f>
        <v>8949</v>
      </c>
    </row>
    <row r="24" spans="1:2" ht="17.600000000000001" x14ac:dyDescent="0.4">
      <c r="A24" s="3" t="s">
        <v>12</v>
      </c>
      <c r="B24" s="9">
        <v>8320</v>
      </c>
    </row>
    <row r="25" spans="1:2" ht="17.600000000000001" x14ac:dyDescent="0.4">
      <c r="A25" s="3" t="s">
        <v>13</v>
      </c>
      <c r="B25" s="9">
        <v>4850</v>
      </c>
    </row>
    <row r="26" spans="1:2" ht="17.600000000000001" x14ac:dyDescent="0.4">
      <c r="A26" s="3" t="s">
        <v>14</v>
      </c>
      <c r="B26" s="9">
        <v>3772</v>
      </c>
    </row>
    <row r="27" spans="1:2" ht="17.600000000000001" x14ac:dyDescent="0.4">
      <c r="A27" s="3" t="s">
        <v>15</v>
      </c>
      <c r="B27" s="9">
        <v>2886</v>
      </c>
    </row>
    <row r="28" spans="1:2" ht="17.600000000000001" x14ac:dyDescent="0.4">
      <c r="A28" s="3" t="s">
        <v>31</v>
      </c>
      <c r="B28" s="9">
        <v>734</v>
      </c>
    </row>
    <row r="29" spans="1:2" ht="20.149999999999999" x14ac:dyDescent="0.5">
      <c r="A29" s="5" t="s">
        <v>6</v>
      </c>
      <c r="B29" s="6">
        <f>SUM(B24:B28)</f>
        <v>20562</v>
      </c>
    </row>
    <row r="30" spans="1:2" ht="17.600000000000001" x14ac:dyDescent="0.4">
      <c r="A30" s="3" t="s">
        <v>16</v>
      </c>
      <c r="B30" s="9">
        <v>1500</v>
      </c>
    </row>
    <row r="31" spans="1:2" ht="17.600000000000001" x14ac:dyDescent="0.4">
      <c r="A31" s="3" t="s">
        <v>17</v>
      </c>
      <c r="B31" s="9">
        <v>250</v>
      </c>
    </row>
    <row r="32" spans="1:2" ht="17.600000000000001" x14ac:dyDescent="0.4">
      <c r="A32" s="3" t="s">
        <v>18</v>
      </c>
      <c r="B32" s="9">
        <v>250</v>
      </c>
    </row>
    <row r="33" spans="1:2" ht="20.149999999999999" x14ac:dyDescent="0.5">
      <c r="A33" s="5" t="s">
        <v>6</v>
      </c>
      <c r="B33" s="6">
        <f>SUM(B30:B32)</f>
        <v>2000</v>
      </c>
    </row>
    <row r="34" spans="1:2" ht="25.75" thickBot="1" x14ac:dyDescent="0.65">
      <c r="A34" s="7" t="s">
        <v>6</v>
      </c>
      <c r="B34" s="8">
        <f>SUM(B33+B29+B23+B18+B12+B9)</f>
        <v>62787</v>
      </c>
    </row>
  </sheetData>
  <mergeCells count="1">
    <mergeCell ref="G16:H16"/>
  </mergeCells>
  <phoneticPr fontId="7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B1ABC-718E-4039-A55E-542CC7522788}">
  <sheetPr codeName="Sheet5"/>
  <dimension ref="A1:E33"/>
  <sheetViews>
    <sheetView rightToLeft="1" workbookViewId="0">
      <selection activeCell="F9" sqref="F9"/>
    </sheetView>
  </sheetViews>
  <sheetFormatPr defaultRowHeight="12.45" x14ac:dyDescent="0.3"/>
  <cols>
    <col min="1" max="1" width="18.15234375" customWidth="1"/>
    <col min="2" max="2" width="20.3046875" customWidth="1"/>
  </cols>
  <sheetData>
    <row r="1" spans="1:4" ht="22.75" x14ac:dyDescent="0.55000000000000004">
      <c r="A1" s="1" t="s">
        <v>19</v>
      </c>
      <c r="B1" s="2" t="s">
        <v>0</v>
      </c>
    </row>
    <row r="2" spans="1:4" ht="17.600000000000001" x14ac:dyDescent="0.4">
      <c r="A2" s="3" t="s">
        <v>1</v>
      </c>
      <c r="B2" s="9">
        <v>5000</v>
      </c>
    </row>
    <row r="3" spans="1:4" ht="17.600000000000001" x14ac:dyDescent="0.4">
      <c r="A3" s="3" t="s">
        <v>2</v>
      </c>
      <c r="B3" s="9">
        <v>2359</v>
      </c>
    </row>
    <row r="4" spans="1:4" ht="17.600000000000001" x14ac:dyDescent="0.4">
      <c r="A4" s="3" t="s">
        <v>3</v>
      </c>
      <c r="B4" s="9">
        <v>2108.75</v>
      </c>
    </row>
    <row r="5" spans="1:4" ht="17.600000000000001" x14ac:dyDescent="0.4">
      <c r="A5" s="3" t="s">
        <v>4</v>
      </c>
      <c r="B5" s="9">
        <v>2754</v>
      </c>
    </row>
    <row r="6" spans="1:4" ht="17.600000000000001" x14ac:dyDescent="0.4">
      <c r="A6" s="3" t="s">
        <v>5</v>
      </c>
      <c r="B6" s="9">
        <v>2749.5</v>
      </c>
      <c r="D6">
        <v>500</v>
      </c>
    </row>
    <row r="7" spans="1:4" ht="17.600000000000001" x14ac:dyDescent="0.4">
      <c r="A7" s="3" t="s">
        <v>27</v>
      </c>
      <c r="B7" s="9">
        <v>1833</v>
      </c>
      <c r="D7">
        <v>220</v>
      </c>
    </row>
    <row r="8" spans="1:4" ht="20.149999999999999" x14ac:dyDescent="0.5">
      <c r="A8" s="5" t="s">
        <v>6</v>
      </c>
      <c r="B8" s="6">
        <f>SUM(B2:B7)</f>
        <v>16804.25</v>
      </c>
    </row>
    <row r="9" spans="1:4" ht="17.600000000000001" x14ac:dyDescent="0.4">
      <c r="A9" s="3" t="s">
        <v>28</v>
      </c>
      <c r="B9" s="9">
        <v>4824</v>
      </c>
    </row>
    <row r="10" spans="1:4" ht="17.600000000000001" x14ac:dyDescent="0.4">
      <c r="A10" s="3" t="s">
        <v>10</v>
      </c>
      <c r="B10" s="9">
        <v>5916</v>
      </c>
    </row>
    <row r="11" spans="1:4" ht="20.149999999999999" x14ac:dyDescent="0.5">
      <c r="A11" s="5" t="s">
        <v>6</v>
      </c>
      <c r="B11" s="6">
        <f>SUM(B9:B10)</f>
        <v>10740</v>
      </c>
    </row>
    <row r="12" spans="1:4" ht="17.600000000000001" x14ac:dyDescent="0.4">
      <c r="A12" s="3" t="s">
        <v>24</v>
      </c>
      <c r="B12" s="4">
        <v>1449</v>
      </c>
    </row>
    <row r="13" spans="1:4" ht="17.600000000000001" x14ac:dyDescent="0.4">
      <c r="A13" s="3" t="s">
        <v>7</v>
      </c>
      <c r="B13" s="4">
        <v>2175</v>
      </c>
    </row>
    <row r="14" spans="1:4" ht="17.600000000000001" x14ac:dyDescent="0.4">
      <c r="A14" s="3" t="s">
        <v>33</v>
      </c>
      <c r="B14" s="4">
        <v>1969</v>
      </c>
    </row>
    <row r="15" spans="1:4" ht="17.600000000000001" x14ac:dyDescent="0.4">
      <c r="A15" s="3" t="s">
        <v>20</v>
      </c>
      <c r="B15" s="4">
        <v>1920</v>
      </c>
    </row>
    <row r="16" spans="1:4" ht="17.600000000000001" x14ac:dyDescent="0.4">
      <c r="A16" s="3" t="s">
        <v>32</v>
      </c>
      <c r="B16" s="4">
        <v>1250</v>
      </c>
      <c r="C16">
        <v>80</v>
      </c>
    </row>
    <row r="17" spans="1:5" ht="20.149999999999999" x14ac:dyDescent="0.5">
      <c r="A17" s="5" t="s">
        <v>6</v>
      </c>
      <c r="B17" s="6">
        <f>SUM(B12:B16)</f>
        <v>8763</v>
      </c>
    </row>
    <row r="18" spans="1:5" ht="17.600000000000001" x14ac:dyDescent="0.4">
      <c r="A18" s="3" t="s">
        <v>22</v>
      </c>
      <c r="B18" s="9">
        <v>2543</v>
      </c>
      <c r="C18">
        <f>SUM(C1:C17)</f>
        <v>80</v>
      </c>
      <c r="D18">
        <f>SUM(D1:D17)</f>
        <v>720</v>
      </c>
      <c r="E18">
        <f>SUM(C18:D18)</f>
        <v>800</v>
      </c>
    </row>
    <row r="19" spans="1:5" ht="17.600000000000001" x14ac:dyDescent="0.4">
      <c r="A19" s="3" t="s">
        <v>8</v>
      </c>
      <c r="B19" s="9">
        <v>2527</v>
      </c>
    </row>
    <row r="20" spans="1:5" ht="17.600000000000001" x14ac:dyDescent="0.4">
      <c r="A20" s="3" t="s">
        <v>9</v>
      </c>
      <c r="B20" s="9">
        <v>2395</v>
      </c>
    </row>
    <row r="21" spans="1:5" ht="17.600000000000001" x14ac:dyDescent="0.4">
      <c r="A21" s="3" t="s">
        <v>11</v>
      </c>
      <c r="B21" s="9">
        <v>2543</v>
      </c>
    </row>
    <row r="22" spans="1:5" ht="20.149999999999999" x14ac:dyDescent="0.5">
      <c r="A22" s="5" t="s">
        <v>6</v>
      </c>
      <c r="B22" s="6">
        <f>SUM(B18:B21)</f>
        <v>10008</v>
      </c>
    </row>
    <row r="23" spans="1:5" ht="17.600000000000001" x14ac:dyDescent="0.4">
      <c r="A23" s="3" t="s">
        <v>12</v>
      </c>
      <c r="B23" s="9">
        <v>8320</v>
      </c>
    </row>
    <row r="24" spans="1:5" ht="17.600000000000001" x14ac:dyDescent="0.4">
      <c r="A24" s="3" t="s">
        <v>13</v>
      </c>
      <c r="B24" s="9">
        <v>4850</v>
      </c>
    </row>
    <row r="25" spans="1:5" ht="17.600000000000001" x14ac:dyDescent="0.4">
      <c r="A25" s="3" t="s">
        <v>14</v>
      </c>
      <c r="B25" s="9">
        <v>3772</v>
      </c>
    </row>
    <row r="26" spans="1:5" ht="17.600000000000001" x14ac:dyDescent="0.4">
      <c r="A26" s="3" t="s">
        <v>15</v>
      </c>
      <c r="B26" s="9">
        <v>2886</v>
      </c>
    </row>
    <row r="27" spans="1:5" ht="17.600000000000001" x14ac:dyDescent="0.4">
      <c r="A27" s="3" t="s">
        <v>31</v>
      </c>
      <c r="B27" s="9">
        <v>1000</v>
      </c>
    </row>
    <row r="28" spans="1:5" ht="20.149999999999999" x14ac:dyDescent="0.5">
      <c r="A28" s="5" t="s">
        <v>6</v>
      </c>
      <c r="B28" s="6">
        <f>SUM(B23:B27)</f>
        <v>20828</v>
      </c>
    </row>
    <row r="29" spans="1:5" ht="17.600000000000001" x14ac:dyDescent="0.4">
      <c r="A29" s="3" t="s">
        <v>16</v>
      </c>
      <c r="B29" s="9">
        <v>1500</v>
      </c>
    </row>
    <row r="30" spans="1:5" ht="17.600000000000001" x14ac:dyDescent="0.4">
      <c r="A30" s="3" t="s">
        <v>17</v>
      </c>
      <c r="B30" s="9">
        <v>250</v>
      </c>
    </row>
    <row r="31" spans="1:5" ht="17.600000000000001" x14ac:dyDescent="0.4">
      <c r="A31" s="3" t="s">
        <v>18</v>
      </c>
      <c r="B31" s="9">
        <v>250</v>
      </c>
    </row>
    <row r="32" spans="1:5" ht="20.149999999999999" x14ac:dyDescent="0.5">
      <c r="A32" s="5" t="s">
        <v>6</v>
      </c>
      <c r="B32" s="6">
        <f>SUM(B29:B31)</f>
        <v>2000</v>
      </c>
    </row>
    <row r="33" spans="1:2" ht="25.75" thickBot="1" x14ac:dyDescent="0.65">
      <c r="A33" s="7" t="s">
        <v>6</v>
      </c>
      <c r="B33" s="8">
        <f>SUM(B32+B28+B22+B17+B11+B8)</f>
        <v>69143.25</v>
      </c>
    </row>
  </sheetData>
  <phoneticPr fontId="7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6FF32-5387-4C26-B8B3-4836F83A14AA}">
  <sheetPr codeName="Sheet6"/>
  <dimension ref="A1:G31"/>
  <sheetViews>
    <sheetView rightToLeft="1" workbookViewId="0">
      <selection activeCell="D11" sqref="D11"/>
    </sheetView>
  </sheetViews>
  <sheetFormatPr defaultRowHeight="12.45" x14ac:dyDescent="0.3"/>
  <cols>
    <col min="1" max="1" width="20.84375" customWidth="1"/>
    <col min="2" max="2" width="22" customWidth="1"/>
  </cols>
  <sheetData>
    <row r="1" spans="1:4" ht="22.75" x14ac:dyDescent="0.55000000000000004">
      <c r="A1" s="1" t="s">
        <v>19</v>
      </c>
      <c r="B1" s="2" t="s">
        <v>0</v>
      </c>
    </row>
    <row r="2" spans="1:4" ht="17.600000000000001" x14ac:dyDescent="0.4">
      <c r="A2" s="3" t="s">
        <v>1</v>
      </c>
      <c r="B2" s="9">
        <v>5000</v>
      </c>
    </row>
    <row r="3" spans="1:4" ht="17.600000000000001" x14ac:dyDescent="0.4">
      <c r="A3" s="3" t="s">
        <v>2</v>
      </c>
      <c r="B3" s="9">
        <v>929.5</v>
      </c>
      <c r="D3">
        <v>306</v>
      </c>
    </row>
    <row r="4" spans="1:4" ht="17.600000000000001" x14ac:dyDescent="0.4">
      <c r="A4" s="3" t="s">
        <v>3</v>
      </c>
      <c r="B4" s="9">
        <v>1250.75</v>
      </c>
    </row>
    <row r="5" spans="1:4" ht="17.600000000000001" x14ac:dyDescent="0.4">
      <c r="A5" s="3" t="s">
        <v>4</v>
      </c>
      <c r="B5" s="9">
        <v>306</v>
      </c>
      <c r="D5">
        <v>500</v>
      </c>
    </row>
    <row r="6" spans="1:4" ht="17.600000000000001" x14ac:dyDescent="0.4">
      <c r="A6" s="3" t="s">
        <v>5</v>
      </c>
      <c r="B6" s="9">
        <v>2091.5</v>
      </c>
    </row>
    <row r="7" spans="1:4" ht="17.600000000000001" x14ac:dyDescent="0.4">
      <c r="A7" s="3" t="s">
        <v>27</v>
      </c>
      <c r="B7" s="9">
        <v>1551</v>
      </c>
    </row>
    <row r="8" spans="1:4" ht="20.149999999999999" x14ac:dyDescent="0.5">
      <c r="A8" s="5" t="s">
        <v>6</v>
      </c>
      <c r="B8" s="6">
        <f>SUM(B2:B7)</f>
        <v>11128.75</v>
      </c>
    </row>
    <row r="9" spans="1:4" ht="17.600000000000001" x14ac:dyDescent="0.4">
      <c r="A9" s="3" t="s">
        <v>28</v>
      </c>
      <c r="B9" s="9">
        <v>4824</v>
      </c>
    </row>
    <row r="10" spans="1:4" ht="17.600000000000001" x14ac:dyDescent="0.4">
      <c r="A10" s="3" t="s">
        <v>10</v>
      </c>
      <c r="B10" s="9">
        <v>4668</v>
      </c>
    </row>
    <row r="11" spans="1:4" ht="20.149999999999999" x14ac:dyDescent="0.5">
      <c r="A11" s="5" t="s">
        <v>6</v>
      </c>
      <c r="B11" s="6">
        <f>SUM(B9:B10)</f>
        <v>9492</v>
      </c>
    </row>
    <row r="12" spans="1:4" ht="17.600000000000001" x14ac:dyDescent="0.4">
      <c r="A12" s="3" t="s">
        <v>24</v>
      </c>
      <c r="B12" s="4">
        <v>1449</v>
      </c>
    </row>
    <row r="13" spans="1:4" ht="17.600000000000001" x14ac:dyDescent="0.4">
      <c r="A13" s="3" t="s">
        <v>7</v>
      </c>
      <c r="B13" s="4">
        <v>2175</v>
      </c>
    </row>
    <row r="14" spans="1:4" ht="17.600000000000001" x14ac:dyDescent="0.4">
      <c r="A14" s="3" t="s">
        <v>33</v>
      </c>
      <c r="B14" s="4">
        <v>1969</v>
      </c>
    </row>
    <row r="15" spans="1:4" ht="17.600000000000001" x14ac:dyDescent="0.4">
      <c r="A15" s="3" t="s">
        <v>20</v>
      </c>
      <c r="B15" s="4">
        <v>1920</v>
      </c>
      <c r="C15">
        <v>80</v>
      </c>
    </row>
    <row r="16" spans="1:4" ht="17.600000000000001" x14ac:dyDescent="0.4">
      <c r="A16" s="3" t="s">
        <v>32</v>
      </c>
      <c r="B16" s="4">
        <v>1208.5</v>
      </c>
    </row>
    <row r="17" spans="1:7" ht="20.149999999999999" x14ac:dyDescent="0.5">
      <c r="A17" s="5" t="s">
        <v>6</v>
      </c>
      <c r="B17" s="6">
        <f>SUM(B12:B16)</f>
        <v>8721.5</v>
      </c>
      <c r="G17">
        <v>38407.5</v>
      </c>
    </row>
    <row r="18" spans="1:7" ht="17.600000000000001" x14ac:dyDescent="0.4">
      <c r="A18" s="3" t="s">
        <v>22</v>
      </c>
      <c r="B18" s="9">
        <v>2543</v>
      </c>
      <c r="E18" s="12"/>
      <c r="G18">
        <v>2800</v>
      </c>
    </row>
    <row r="19" spans="1:7" ht="17.600000000000001" x14ac:dyDescent="0.4">
      <c r="A19" s="3" t="s">
        <v>8</v>
      </c>
      <c r="B19" s="9">
        <v>2527</v>
      </c>
      <c r="G19">
        <v>15120.75</v>
      </c>
    </row>
    <row r="20" spans="1:7" ht="17.600000000000001" x14ac:dyDescent="0.4">
      <c r="A20" s="3" t="s">
        <v>9</v>
      </c>
      <c r="B20" s="9">
        <v>2395</v>
      </c>
      <c r="C20">
        <f>SUM(C1:C16)</f>
        <v>80</v>
      </c>
      <c r="D20">
        <f>SUM(D1:D19)</f>
        <v>806</v>
      </c>
      <c r="E20">
        <f>SUM(C20:D20)</f>
        <v>886</v>
      </c>
      <c r="G20">
        <f>SUM(G17:G19)</f>
        <v>56328.25</v>
      </c>
    </row>
    <row r="21" spans="1:7" ht="17.600000000000001" x14ac:dyDescent="0.4">
      <c r="A21" s="3" t="s">
        <v>11</v>
      </c>
      <c r="B21" s="9">
        <v>2543</v>
      </c>
    </row>
    <row r="22" spans="1:7" ht="20.149999999999999" x14ac:dyDescent="0.5">
      <c r="A22" s="5" t="s">
        <v>6</v>
      </c>
      <c r="B22" s="6">
        <f>SUM(B18:B21)</f>
        <v>10008</v>
      </c>
    </row>
    <row r="23" spans="1:7" ht="17.600000000000001" x14ac:dyDescent="0.4">
      <c r="A23" s="3" t="s">
        <v>12</v>
      </c>
      <c r="B23" s="9">
        <v>8320</v>
      </c>
    </row>
    <row r="24" spans="1:7" ht="17.600000000000001" x14ac:dyDescent="0.4">
      <c r="A24" s="3" t="s">
        <v>14</v>
      </c>
      <c r="B24" s="9">
        <v>3772</v>
      </c>
    </row>
    <row r="25" spans="1:7" ht="17.600000000000001" x14ac:dyDescent="0.4">
      <c r="A25" s="3" t="s">
        <v>15</v>
      </c>
      <c r="B25" s="9">
        <v>2886</v>
      </c>
    </row>
    <row r="26" spans="1:7" ht="20.149999999999999" x14ac:dyDescent="0.5">
      <c r="A26" s="5" t="s">
        <v>6</v>
      </c>
      <c r="B26" s="6">
        <f>SUM(B23:B25)</f>
        <v>14978</v>
      </c>
    </row>
    <row r="27" spans="1:7" ht="17.600000000000001" x14ac:dyDescent="0.4">
      <c r="A27" s="3" t="s">
        <v>16</v>
      </c>
      <c r="B27" s="9">
        <v>1500</v>
      </c>
    </row>
    <row r="28" spans="1:7" ht="17.600000000000001" x14ac:dyDescent="0.4">
      <c r="A28" s="3" t="s">
        <v>17</v>
      </c>
      <c r="B28" s="9">
        <v>250</v>
      </c>
    </row>
    <row r="29" spans="1:7" ht="17.600000000000001" x14ac:dyDescent="0.4">
      <c r="A29" s="3" t="s">
        <v>18</v>
      </c>
      <c r="B29" s="9">
        <v>250</v>
      </c>
    </row>
    <row r="30" spans="1:7" ht="20.149999999999999" x14ac:dyDescent="0.5">
      <c r="A30" s="5" t="s">
        <v>6</v>
      </c>
      <c r="B30" s="6">
        <f>SUM(B27:B29)</f>
        <v>2000</v>
      </c>
    </row>
    <row r="31" spans="1:7" ht="25.75" thickBot="1" x14ac:dyDescent="0.65">
      <c r="A31" s="7" t="s">
        <v>6</v>
      </c>
      <c r="B31" s="8">
        <f>SUM(B30,B26,B22,B17,B11,B8)</f>
        <v>56328.25</v>
      </c>
    </row>
  </sheetData>
  <phoneticPr fontId="7" type="noConversion"/>
  <pageMargins left="0.75" right="0.75" top="1" bottom="1" header="0.5" footer="0.5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B5752-4234-4FB3-9AAB-1AA3A13223E7}">
  <sheetPr codeName="Sheet7"/>
  <dimension ref="A1:K30"/>
  <sheetViews>
    <sheetView rightToLeft="1" topLeftCell="A4" workbookViewId="0">
      <selection sqref="A1:B30"/>
    </sheetView>
  </sheetViews>
  <sheetFormatPr defaultRowHeight="12.45" x14ac:dyDescent="0.3"/>
  <cols>
    <col min="1" max="1" width="17.69140625" customWidth="1"/>
    <col min="2" max="2" width="23.69140625" customWidth="1"/>
    <col min="7" max="7" width="12.3046875" customWidth="1"/>
  </cols>
  <sheetData>
    <row r="1" spans="1:5" ht="22.75" x14ac:dyDescent="0.55000000000000004">
      <c r="A1" s="1" t="s">
        <v>19</v>
      </c>
      <c r="B1" s="2" t="s">
        <v>0</v>
      </c>
      <c r="D1">
        <v>-70</v>
      </c>
    </row>
    <row r="2" spans="1:5" ht="17.600000000000001" x14ac:dyDescent="0.4">
      <c r="A2" s="3" t="s">
        <v>1</v>
      </c>
      <c r="B2" s="9">
        <v>5000</v>
      </c>
    </row>
    <row r="3" spans="1:5" ht="17.600000000000001" x14ac:dyDescent="0.4">
      <c r="A3" s="3" t="s">
        <v>2</v>
      </c>
      <c r="B3" s="9">
        <v>536.25</v>
      </c>
    </row>
    <row r="4" spans="1:5" ht="17.600000000000001" x14ac:dyDescent="0.4">
      <c r="A4" s="3" t="s">
        <v>3</v>
      </c>
      <c r="B4" s="9">
        <v>929</v>
      </c>
    </row>
    <row r="5" spans="1:5" ht="17.600000000000001" x14ac:dyDescent="0.4">
      <c r="A5" s="3" t="s">
        <v>5</v>
      </c>
      <c r="B5" s="9">
        <v>2162</v>
      </c>
    </row>
    <row r="6" spans="1:5" ht="17.600000000000001" x14ac:dyDescent="0.4">
      <c r="A6" s="3" t="s">
        <v>27</v>
      </c>
      <c r="B6" s="9">
        <v>1504</v>
      </c>
    </row>
    <row r="7" spans="1:5" ht="20.149999999999999" x14ac:dyDescent="0.5">
      <c r="A7" s="5" t="s">
        <v>6</v>
      </c>
      <c r="B7" s="6">
        <f>SUM(B2:B6)</f>
        <v>10131.25</v>
      </c>
    </row>
    <row r="8" spans="1:5" ht="17.600000000000001" x14ac:dyDescent="0.4">
      <c r="A8" s="3" t="s">
        <v>28</v>
      </c>
      <c r="B8" s="9">
        <v>5448</v>
      </c>
    </row>
    <row r="9" spans="1:5" ht="17.600000000000001" x14ac:dyDescent="0.4">
      <c r="A9" s="3" t="s">
        <v>10</v>
      </c>
      <c r="B9" s="9">
        <v>4512</v>
      </c>
      <c r="D9">
        <v>2000</v>
      </c>
    </row>
    <row r="10" spans="1:5" ht="20.149999999999999" x14ac:dyDescent="0.5">
      <c r="A10" s="5" t="s">
        <v>6</v>
      </c>
      <c r="B10" s="6">
        <f>SUM(B8:B9)</f>
        <v>9960</v>
      </c>
    </row>
    <row r="11" spans="1:5" ht="17.600000000000001" x14ac:dyDescent="0.4">
      <c r="A11" s="3" t="s">
        <v>24</v>
      </c>
      <c r="B11" s="4">
        <v>1449</v>
      </c>
      <c r="C11">
        <v>80</v>
      </c>
    </row>
    <row r="12" spans="1:5" ht="17.600000000000001" x14ac:dyDescent="0.4">
      <c r="A12" s="3" t="s">
        <v>7</v>
      </c>
      <c r="B12" s="4">
        <v>2175</v>
      </c>
    </row>
    <row r="13" spans="1:5" ht="17.600000000000001" x14ac:dyDescent="0.4">
      <c r="A13" s="3" t="s">
        <v>33</v>
      </c>
      <c r="B13" s="4">
        <v>1969</v>
      </c>
    </row>
    <row r="14" spans="1:5" ht="17.600000000000001" x14ac:dyDescent="0.4">
      <c r="A14" s="3" t="s">
        <v>20</v>
      </c>
      <c r="B14" s="4">
        <v>1920</v>
      </c>
    </row>
    <row r="15" spans="1:5" ht="17.600000000000001" x14ac:dyDescent="0.4">
      <c r="A15" s="3" t="s">
        <v>32</v>
      </c>
      <c r="B15" s="4">
        <v>1042</v>
      </c>
    </row>
    <row r="16" spans="1:5" ht="20.149999999999999" x14ac:dyDescent="0.5">
      <c r="A16" s="5" t="s">
        <v>6</v>
      </c>
      <c r="B16" s="6">
        <f>SUM(B11:B15)</f>
        <v>8555</v>
      </c>
      <c r="C16">
        <f>SUM(C1:C15)</f>
        <v>80</v>
      </c>
      <c r="D16">
        <f>SUM(D1:D15)</f>
        <v>1930</v>
      </c>
      <c r="E16">
        <f>SUM(C16:D16)</f>
        <v>2010</v>
      </c>
    </row>
    <row r="17" spans="1:11" ht="17.600000000000001" x14ac:dyDescent="0.4">
      <c r="A17" s="3" t="s">
        <v>22</v>
      </c>
      <c r="B17" s="9">
        <v>2543</v>
      </c>
      <c r="J17">
        <v>6550</v>
      </c>
    </row>
    <row r="18" spans="1:11" ht="17.600000000000001" x14ac:dyDescent="0.4">
      <c r="A18" s="3" t="s">
        <v>8</v>
      </c>
      <c r="B18" s="9">
        <v>2527</v>
      </c>
      <c r="J18">
        <v>275</v>
      </c>
    </row>
    <row r="19" spans="1:11" ht="17.600000000000001" x14ac:dyDescent="0.4">
      <c r="A19" s="3" t="s">
        <v>9</v>
      </c>
      <c r="B19" s="9">
        <v>2395</v>
      </c>
      <c r="J19">
        <f>SUM(J17:J18)</f>
        <v>6825</v>
      </c>
    </row>
    <row r="20" spans="1:11" ht="17.600000000000001" x14ac:dyDescent="0.4">
      <c r="A20" s="3" t="s">
        <v>11</v>
      </c>
      <c r="B20" s="9">
        <v>2543</v>
      </c>
    </row>
    <row r="21" spans="1:11" ht="20.149999999999999" x14ac:dyDescent="0.5">
      <c r="A21" s="5" t="s">
        <v>6</v>
      </c>
      <c r="B21" s="6">
        <f>SUM(B17:B20)</f>
        <v>10008</v>
      </c>
    </row>
    <row r="22" spans="1:11" ht="17.600000000000001" x14ac:dyDescent="0.4">
      <c r="A22" s="3" t="s">
        <v>12</v>
      </c>
      <c r="B22" s="9">
        <v>8320</v>
      </c>
    </row>
    <row r="23" spans="1:11" ht="17.600000000000001" x14ac:dyDescent="0.4">
      <c r="A23" s="3" t="s">
        <v>14</v>
      </c>
      <c r="B23" s="9">
        <v>3772</v>
      </c>
    </row>
    <row r="24" spans="1:11" ht="17.600000000000001" x14ac:dyDescent="0.4">
      <c r="A24" s="3" t="s">
        <v>15</v>
      </c>
      <c r="B24" s="9">
        <v>2886</v>
      </c>
    </row>
    <row r="25" spans="1:11" ht="20.149999999999999" x14ac:dyDescent="0.5">
      <c r="A25" s="5" t="s">
        <v>6</v>
      </c>
      <c r="B25" s="6">
        <f>SUM(B22:B24)</f>
        <v>14978</v>
      </c>
    </row>
    <row r="26" spans="1:11" ht="17.600000000000001" x14ac:dyDescent="0.4">
      <c r="A26" s="3" t="s">
        <v>16</v>
      </c>
      <c r="B26" s="9">
        <v>1500</v>
      </c>
    </row>
    <row r="27" spans="1:11" ht="17.600000000000001" x14ac:dyDescent="0.4">
      <c r="A27" s="3" t="s">
        <v>17</v>
      </c>
      <c r="B27" s="9">
        <v>250</v>
      </c>
      <c r="K27">
        <v>14591.25</v>
      </c>
    </row>
    <row r="28" spans="1:11" ht="17.600000000000001" x14ac:dyDescent="0.4">
      <c r="A28" s="3" t="s">
        <v>18</v>
      </c>
      <c r="B28" s="9">
        <v>250</v>
      </c>
      <c r="K28">
        <v>38241</v>
      </c>
    </row>
    <row r="29" spans="1:11" ht="20.149999999999999" x14ac:dyDescent="0.5">
      <c r="A29" s="5" t="s">
        <v>6</v>
      </c>
      <c r="B29" s="6">
        <f>SUM(B26:B28)</f>
        <v>2000</v>
      </c>
      <c r="K29">
        <v>2800</v>
      </c>
    </row>
    <row r="30" spans="1:11" ht="25.75" thickBot="1" x14ac:dyDescent="0.65">
      <c r="A30" s="7" t="s">
        <v>6</v>
      </c>
      <c r="B30" s="8">
        <f>SUM(B29,B25,B21,B16,B10,B7)</f>
        <v>55632.25</v>
      </c>
      <c r="K30">
        <f>SUM(K27:K29)</f>
        <v>55632.25</v>
      </c>
    </row>
  </sheetData>
  <phoneticPr fontId="7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F5126-6F97-44F6-B8EB-7E1EDDD3913C}">
  <sheetPr codeName="Sheet8"/>
  <dimension ref="A1:I33"/>
  <sheetViews>
    <sheetView rightToLeft="1" workbookViewId="0">
      <selection sqref="A1:B33"/>
    </sheetView>
  </sheetViews>
  <sheetFormatPr defaultRowHeight="12.45" x14ac:dyDescent="0.3"/>
  <cols>
    <col min="1" max="1" width="26.53515625" customWidth="1"/>
    <col min="2" max="2" width="21.53515625" customWidth="1"/>
  </cols>
  <sheetData>
    <row r="1" spans="1:4" ht="22.75" x14ac:dyDescent="0.55000000000000004">
      <c r="A1" s="1" t="s">
        <v>19</v>
      </c>
      <c r="B1" s="2" t="s">
        <v>0</v>
      </c>
    </row>
    <row r="2" spans="1:4" ht="17.600000000000001" x14ac:dyDescent="0.4">
      <c r="A2" s="3" t="s">
        <v>1</v>
      </c>
      <c r="B2" s="9">
        <v>5000</v>
      </c>
    </row>
    <row r="3" spans="1:4" ht="17.600000000000001" x14ac:dyDescent="0.4">
      <c r="A3" s="3" t="s">
        <v>2</v>
      </c>
      <c r="B3" s="9">
        <v>429</v>
      </c>
    </row>
    <row r="4" spans="1:4" ht="17.600000000000001" x14ac:dyDescent="0.4">
      <c r="A4" s="3" t="s">
        <v>3</v>
      </c>
      <c r="B4" s="9">
        <v>929</v>
      </c>
      <c r="D4">
        <v>86</v>
      </c>
    </row>
    <row r="5" spans="1:4" ht="17.600000000000001" x14ac:dyDescent="0.4">
      <c r="A5" s="3" t="s">
        <v>5</v>
      </c>
      <c r="B5" s="9">
        <v>2068</v>
      </c>
    </row>
    <row r="6" spans="1:4" ht="17.600000000000001" x14ac:dyDescent="0.4">
      <c r="A6" s="3" t="s">
        <v>36</v>
      </c>
      <c r="B6" s="9">
        <v>86</v>
      </c>
    </row>
    <row r="7" spans="1:4" ht="17.600000000000001" x14ac:dyDescent="0.4">
      <c r="A7" s="3" t="s">
        <v>27</v>
      </c>
      <c r="B7" s="9">
        <v>1363</v>
      </c>
    </row>
    <row r="8" spans="1:4" ht="20.149999999999999" x14ac:dyDescent="0.5">
      <c r="A8" s="5" t="s">
        <v>6</v>
      </c>
      <c r="B8" s="6">
        <f>SUM(B2:B7)</f>
        <v>9875</v>
      </c>
    </row>
    <row r="9" spans="1:4" ht="17.600000000000001" x14ac:dyDescent="0.4">
      <c r="A9" s="3" t="s">
        <v>28</v>
      </c>
      <c r="B9" s="9">
        <v>3732</v>
      </c>
    </row>
    <row r="10" spans="1:4" ht="17.600000000000001" x14ac:dyDescent="0.4">
      <c r="A10" s="3" t="s">
        <v>35</v>
      </c>
      <c r="B10" s="9">
        <v>1716</v>
      </c>
    </row>
    <row r="11" spans="1:4" ht="17.600000000000001" x14ac:dyDescent="0.4">
      <c r="A11" s="3" t="s">
        <v>10</v>
      </c>
      <c r="B11" s="9">
        <v>5916</v>
      </c>
    </row>
    <row r="12" spans="1:4" ht="20.149999999999999" x14ac:dyDescent="0.5">
      <c r="A12" s="5" t="s">
        <v>6</v>
      </c>
      <c r="B12" s="6">
        <f>SUM(B9:B11)</f>
        <v>11364</v>
      </c>
    </row>
    <row r="13" spans="1:4" ht="17.600000000000001" x14ac:dyDescent="0.4">
      <c r="A13" s="3" t="s">
        <v>24</v>
      </c>
      <c r="B13" s="4">
        <v>1449</v>
      </c>
    </row>
    <row r="14" spans="1:4" ht="17.600000000000001" x14ac:dyDescent="0.4">
      <c r="A14" s="3" t="s">
        <v>7</v>
      </c>
      <c r="B14" s="4">
        <v>2175</v>
      </c>
    </row>
    <row r="15" spans="1:4" ht="17.600000000000001" x14ac:dyDescent="0.4">
      <c r="A15" s="3" t="s">
        <v>33</v>
      </c>
      <c r="B15" s="4">
        <v>1716</v>
      </c>
      <c r="C15">
        <v>100</v>
      </c>
    </row>
    <row r="16" spans="1:4" ht="17.600000000000001" x14ac:dyDescent="0.4">
      <c r="A16" s="3" t="s">
        <v>20</v>
      </c>
      <c r="B16" s="4">
        <v>1920</v>
      </c>
    </row>
    <row r="17" spans="1:9" ht="17.600000000000001" x14ac:dyDescent="0.4">
      <c r="A17" s="3" t="s">
        <v>32</v>
      </c>
      <c r="B17" s="4">
        <v>1250</v>
      </c>
    </row>
    <row r="18" spans="1:9" ht="20.149999999999999" x14ac:dyDescent="0.5">
      <c r="A18" s="5" t="s">
        <v>6</v>
      </c>
      <c r="B18" s="6">
        <f>SUM(B13:B17)</f>
        <v>8510</v>
      </c>
    </row>
    <row r="19" spans="1:9" ht="17.600000000000001" x14ac:dyDescent="0.4">
      <c r="A19" s="3" t="s">
        <v>22</v>
      </c>
      <c r="B19" s="9">
        <v>2543</v>
      </c>
      <c r="C19">
        <f>SUM(C1:C18)</f>
        <v>100</v>
      </c>
      <c r="D19">
        <f>SUM(D1:D18)</f>
        <v>86</v>
      </c>
      <c r="E19">
        <f>SUM(C19:D19)</f>
        <v>186</v>
      </c>
    </row>
    <row r="20" spans="1:9" ht="17.600000000000001" x14ac:dyDescent="0.4">
      <c r="A20" s="3" t="s">
        <v>8</v>
      </c>
      <c r="B20" s="9">
        <v>2527</v>
      </c>
    </row>
    <row r="21" spans="1:9" ht="17.600000000000001" x14ac:dyDescent="0.4">
      <c r="A21" s="3" t="s">
        <v>9</v>
      </c>
      <c r="B21" s="9">
        <v>2142</v>
      </c>
    </row>
    <row r="22" spans="1:9" ht="17.600000000000001" x14ac:dyDescent="0.4">
      <c r="A22" s="3" t="s">
        <v>11</v>
      </c>
      <c r="B22" s="9">
        <v>2543</v>
      </c>
    </row>
    <row r="23" spans="1:9" ht="20.149999999999999" x14ac:dyDescent="0.5">
      <c r="A23" s="5" t="s">
        <v>6</v>
      </c>
      <c r="B23" s="6">
        <f>SUM(B19:B22)</f>
        <v>9755</v>
      </c>
    </row>
    <row r="24" spans="1:9" ht="17.600000000000001" x14ac:dyDescent="0.4">
      <c r="A24" s="3" t="s">
        <v>12</v>
      </c>
      <c r="B24" s="9">
        <v>8320</v>
      </c>
    </row>
    <row r="25" spans="1:9" ht="17.600000000000001" x14ac:dyDescent="0.4">
      <c r="A25" s="3" t="s">
        <v>14</v>
      </c>
      <c r="B25" s="9">
        <v>3772</v>
      </c>
      <c r="I25">
        <v>31825</v>
      </c>
    </row>
    <row r="26" spans="1:9" ht="17.600000000000001" x14ac:dyDescent="0.4">
      <c r="A26" s="3" t="s">
        <v>31</v>
      </c>
      <c r="B26" s="9">
        <v>934</v>
      </c>
    </row>
    <row r="27" spans="1:9" ht="17.600000000000001" x14ac:dyDescent="0.4">
      <c r="A27" s="3" t="s">
        <v>15</v>
      </c>
      <c r="B27" s="9">
        <v>2886</v>
      </c>
      <c r="I27">
        <v>3700</v>
      </c>
    </row>
    <row r="28" spans="1:9" ht="20.149999999999999" x14ac:dyDescent="0.5">
      <c r="A28" s="5" t="s">
        <v>6</v>
      </c>
      <c r="B28" s="6">
        <f>SUM(B24:B27)</f>
        <v>15912</v>
      </c>
      <c r="I28">
        <v>19586</v>
      </c>
    </row>
    <row r="29" spans="1:9" ht="17.600000000000001" x14ac:dyDescent="0.4">
      <c r="A29" s="3" t="s">
        <v>16</v>
      </c>
      <c r="B29" s="9">
        <v>1500</v>
      </c>
      <c r="I29">
        <f>SUM(I25:I28)</f>
        <v>55111</v>
      </c>
    </row>
    <row r="30" spans="1:9" ht="17.600000000000001" x14ac:dyDescent="0.4">
      <c r="A30" s="3" t="s">
        <v>17</v>
      </c>
      <c r="B30" s="9">
        <v>250</v>
      </c>
    </row>
    <row r="31" spans="1:9" ht="17.600000000000001" x14ac:dyDescent="0.4">
      <c r="A31" s="3" t="s">
        <v>18</v>
      </c>
      <c r="B31" s="9">
        <v>250</v>
      </c>
    </row>
    <row r="32" spans="1:9" ht="20.149999999999999" x14ac:dyDescent="0.5">
      <c r="A32" s="5" t="s">
        <v>6</v>
      </c>
      <c r="B32" s="6">
        <f>SUM(B29:B31)</f>
        <v>2000</v>
      </c>
    </row>
    <row r="33" spans="1:2" ht="25.75" thickBot="1" x14ac:dyDescent="0.65">
      <c r="A33" s="7" t="s">
        <v>6</v>
      </c>
      <c r="B33" s="8">
        <f>SUM(B32,B28,B23,B18,B12,B8)</f>
        <v>57416</v>
      </c>
    </row>
  </sheetData>
  <phoneticPr fontId="7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D8FC1-2E35-49BC-AAE5-0A9DE6C2A844}">
  <sheetPr codeName="Sheet9"/>
  <dimension ref="A1:IV33"/>
  <sheetViews>
    <sheetView rightToLeft="1" workbookViewId="0">
      <selection sqref="A1:B33"/>
    </sheetView>
  </sheetViews>
  <sheetFormatPr defaultRowHeight="12.45" x14ac:dyDescent="0.3"/>
  <cols>
    <col min="1" max="1" width="22.3828125" customWidth="1"/>
    <col min="2" max="2" width="25.15234375" customWidth="1"/>
    <col min="3" max="4" width="12.3828125" customWidth="1"/>
    <col min="5" max="5" width="9.84375" bestFit="1" customWidth="1"/>
    <col min="8" max="8" width="9.84375" bestFit="1" customWidth="1"/>
    <col min="9" max="9" width="13" customWidth="1"/>
  </cols>
  <sheetData>
    <row r="1" spans="1:256" ht="22.75" x14ac:dyDescent="0.55000000000000004">
      <c r="A1" s="23" t="s">
        <v>19</v>
      </c>
      <c r="B1" s="23" t="s">
        <v>0</v>
      </c>
      <c r="C1" s="14"/>
      <c r="D1" s="25"/>
    </row>
    <row r="2" spans="1:256" ht="17.600000000000001" x14ac:dyDescent="0.4">
      <c r="A2" s="22" t="s">
        <v>1</v>
      </c>
      <c r="B2" s="24">
        <v>5000</v>
      </c>
      <c r="C2" s="25"/>
      <c r="D2" s="25">
        <v>72</v>
      </c>
    </row>
    <row r="3" spans="1:256" ht="17.600000000000001" x14ac:dyDescent="0.4">
      <c r="A3" s="22" t="s">
        <v>2</v>
      </c>
      <c r="B3" s="24">
        <v>715</v>
      </c>
      <c r="C3" s="25"/>
      <c r="D3" s="25"/>
    </row>
    <row r="4" spans="1:256" ht="17.600000000000001" x14ac:dyDescent="0.4">
      <c r="A4" s="22" t="s">
        <v>3</v>
      </c>
      <c r="B4" s="24">
        <v>1072</v>
      </c>
      <c r="C4" s="25"/>
      <c r="D4" s="25">
        <v>128</v>
      </c>
    </row>
    <row r="5" spans="1:256" ht="17.600000000000001" x14ac:dyDescent="0.4">
      <c r="A5" s="22" t="s">
        <v>5</v>
      </c>
      <c r="B5" s="24">
        <v>2373</v>
      </c>
      <c r="C5" s="25"/>
      <c r="D5" s="25"/>
    </row>
    <row r="6" spans="1:256" ht="17.600000000000001" x14ac:dyDescent="0.4">
      <c r="A6" s="22" t="s">
        <v>36</v>
      </c>
      <c r="B6" s="24">
        <v>128</v>
      </c>
      <c r="C6" s="25"/>
      <c r="D6" s="25"/>
    </row>
    <row r="7" spans="1:256" ht="17.600000000000001" x14ac:dyDescent="0.4">
      <c r="A7" s="22" t="s">
        <v>27</v>
      </c>
      <c r="B7" s="24">
        <v>1504</v>
      </c>
      <c r="C7" s="25"/>
      <c r="D7" s="25"/>
    </row>
    <row r="8" spans="1:256" ht="20.149999999999999" x14ac:dyDescent="0.5">
      <c r="A8" s="21" t="s">
        <v>6</v>
      </c>
      <c r="B8" s="21">
        <f>SUM(B2:B7)</f>
        <v>10792</v>
      </c>
      <c r="C8" s="25"/>
      <c r="D8" s="25"/>
    </row>
    <row r="9" spans="1:256" ht="17.600000000000001" x14ac:dyDescent="0.4">
      <c r="A9" s="22" t="s">
        <v>28</v>
      </c>
      <c r="B9" s="24">
        <v>2640</v>
      </c>
      <c r="C9" s="25"/>
      <c r="D9" s="25"/>
      <c r="H9">
        <v>10000</v>
      </c>
    </row>
    <row r="10" spans="1:256" ht="17.600000000000001" x14ac:dyDescent="0.4">
      <c r="A10" s="22" t="s">
        <v>35</v>
      </c>
      <c r="B10" s="24">
        <v>2964</v>
      </c>
      <c r="C10" s="25"/>
      <c r="D10" s="25"/>
      <c r="H10">
        <v>5650</v>
      </c>
    </row>
    <row r="11" spans="1:256" ht="17.600000000000001" x14ac:dyDescent="0.4">
      <c r="A11" s="22" t="s">
        <v>10</v>
      </c>
      <c r="B11" s="24">
        <v>5760</v>
      </c>
      <c r="C11" s="25"/>
      <c r="D11" s="19"/>
      <c r="E11" s="18"/>
      <c r="F11" s="19"/>
      <c r="G11" s="18"/>
      <c r="H11" s="26">
        <v>585</v>
      </c>
      <c r="I11" s="18"/>
      <c r="J11" s="19"/>
      <c r="K11" s="18"/>
      <c r="L11" s="19"/>
      <c r="M11" s="18"/>
      <c r="N11" s="19"/>
      <c r="O11" s="18"/>
      <c r="P11" s="19"/>
      <c r="Q11" s="18"/>
      <c r="R11" s="19"/>
      <c r="S11" s="18"/>
      <c r="T11" s="19"/>
      <c r="U11" s="18"/>
      <c r="V11" s="19"/>
      <c r="W11" s="18"/>
      <c r="X11" s="19"/>
      <c r="Y11" s="18"/>
      <c r="Z11" s="19"/>
      <c r="AA11" s="18"/>
      <c r="AB11" s="19"/>
      <c r="AC11" s="18"/>
      <c r="AD11" s="19"/>
      <c r="AE11" s="18"/>
      <c r="AF11" s="15"/>
      <c r="AG11" s="3"/>
      <c r="AH11" s="9"/>
      <c r="AI11" s="3"/>
      <c r="AJ11" s="9"/>
      <c r="AK11" s="3"/>
      <c r="AL11" s="9">
        <v>4986</v>
      </c>
      <c r="AM11" s="3" t="s">
        <v>28</v>
      </c>
      <c r="AN11" s="9">
        <v>4986</v>
      </c>
      <c r="AO11" s="3" t="s">
        <v>28</v>
      </c>
      <c r="AP11" s="9">
        <v>4986</v>
      </c>
      <c r="AQ11" s="3" t="s">
        <v>28</v>
      </c>
      <c r="AR11" s="9">
        <v>4986</v>
      </c>
      <c r="AS11" s="3" t="s">
        <v>28</v>
      </c>
      <c r="AT11" s="9">
        <v>4986</v>
      </c>
      <c r="AU11" s="3" t="s">
        <v>28</v>
      </c>
      <c r="AV11" s="9">
        <v>4986</v>
      </c>
      <c r="AW11" s="3" t="s">
        <v>28</v>
      </c>
      <c r="AX11" s="9">
        <v>4986</v>
      </c>
      <c r="AY11" s="3" t="s">
        <v>28</v>
      </c>
      <c r="AZ11" s="9">
        <v>4986</v>
      </c>
      <c r="BA11" s="3" t="s">
        <v>28</v>
      </c>
      <c r="BB11" s="9">
        <v>4986</v>
      </c>
      <c r="BC11" s="3" t="s">
        <v>28</v>
      </c>
      <c r="BD11" s="9">
        <v>4986</v>
      </c>
      <c r="BE11" s="3" t="s">
        <v>28</v>
      </c>
      <c r="BF11" s="9">
        <v>4986</v>
      </c>
      <c r="BG11" s="3" t="s">
        <v>28</v>
      </c>
      <c r="BH11" s="9">
        <v>4986</v>
      </c>
      <c r="BI11" s="3" t="s">
        <v>28</v>
      </c>
      <c r="BJ11" s="9">
        <v>4986</v>
      </c>
      <c r="BK11" s="3" t="s">
        <v>28</v>
      </c>
      <c r="BL11" s="9">
        <v>4986</v>
      </c>
      <c r="BM11" s="3" t="s">
        <v>28</v>
      </c>
      <c r="BN11" s="9">
        <v>4986</v>
      </c>
      <c r="BO11" s="3" t="s">
        <v>28</v>
      </c>
      <c r="BP11" s="9">
        <v>4986</v>
      </c>
      <c r="BQ11" s="3" t="s">
        <v>28</v>
      </c>
      <c r="BR11" s="9">
        <v>4986</v>
      </c>
      <c r="BS11" s="3" t="s">
        <v>28</v>
      </c>
      <c r="BT11" s="9">
        <v>4986</v>
      </c>
      <c r="BU11" s="3" t="s">
        <v>28</v>
      </c>
      <c r="BV11" s="9">
        <v>4986</v>
      </c>
      <c r="BW11" s="3" t="s">
        <v>28</v>
      </c>
      <c r="BX11" s="9">
        <v>4986</v>
      </c>
      <c r="BY11" s="3" t="s">
        <v>28</v>
      </c>
      <c r="BZ11" s="9">
        <v>4986</v>
      </c>
      <c r="CA11" s="3" t="s">
        <v>28</v>
      </c>
      <c r="CB11" s="9">
        <v>4986</v>
      </c>
      <c r="CC11" s="3" t="s">
        <v>28</v>
      </c>
      <c r="CD11" s="9">
        <v>4986</v>
      </c>
      <c r="CE11" s="3" t="s">
        <v>28</v>
      </c>
      <c r="CF11" s="9">
        <v>4986</v>
      </c>
      <c r="CG11" s="3" t="s">
        <v>28</v>
      </c>
      <c r="CH11" s="9">
        <v>4986</v>
      </c>
      <c r="CI11" s="3" t="s">
        <v>28</v>
      </c>
      <c r="CJ11" s="9">
        <v>4986</v>
      </c>
      <c r="CK11" s="3" t="s">
        <v>28</v>
      </c>
      <c r="CL11" s="9">
        <v>4986</v>
      </c>
      <c r="CM11" s="3" t="s">
        <v>28</v>
      </c>
      <c r="CN11" s="9">
        <v>4986</v>
      </c>
      <c r="CO11" s="3" t="s">
        <v>28</v>
      </c>
      <c r="CP11" s="9">
        <v>4986</v>
      </c>
      <c r="CQ11" s="3" t="s">
        <v>28</v>
      </c>
      <c r="CR11" s="9">
        <v>4986</v>
      </c>
      <c r="CS11" s="3" t="s">
        <v>28</v>
      </c>
      <c r="CT11" s="9">
        <v>4986</v>
      </c>
      <c r="CU11" s="3" t="s">
        <v>28</v>
      </c>
      <c r="CV11" s="9">
        <v>4986</v>
      </c>
      <c r="CW11" s="3" t="s">
        <v>28</v>
      </c>
      <c r="CX11" s="9">
        <v>4986</v>
      </c>
      <c r="CY11" s="3" t="s">
        <v>28</v>
      </c>
      <c r="CZ11" s="9">
        <v>4986</v>
      </c>
      <c r="DA11" s="3" t="s">
        <v>28</v>
      </c>
      <c r="DB11" s="9">
        <v>4986</v>
      </c>
      <c r="DC11" s="3" t="s">
        <v>28</v>
      </c>
      <c r="DD11" s="9">
        <v>4986</v>
      </c>
      <c r="DE11" s="3" t="s">
        <v>28</v>
      </c>
      <c r="DF11" s="9">
        <v>4986</v>
      </c>
      <c r="DG11" s="3" t="s">
        <v>28</v>
      </c>
      <c r="DH11" s="9">
        <v>4986</v>
      </c>
      <c r="DI11" s="3" t="s">
        <v>28</v>
      </c>
      <c r="DJ11" s="9">
        <v>4986</v>
      </c>
      <c r="DK11" s="3" t="s">
        <v>28</v>
      </c>
      <c r="DL11" s="9">
        <v>4986</v>
      </c>
      <c r="DM11" s="3" t="s">
        <v>28</v>
      </c>
      <c r="DN11" s="9">
        <v>4986</v>
      </c>
      <c r="DO11" s="3" t="s">
        <v>28</v>
      </c>
      <c r="DP11" s="9">
        <v>4986</v>
      </c>
      <c r="DQ11" s="3" t="s">
        <v>28</v>
      </c>
      <c r="DR11" s="9">
        <v>4986</v>
      </c>
      <c r="DS11" s="3" t="s">
        <v>28</v>
      </c>
      <c r="DT11" s="9">
        <v>4986</v>
      </c>
      <c r="DU11" s="3" t="s">
        <v>28</v>
      </c>
      <c r="DV11" s="9">
        <v>4986</v>
      </c>
      <c r="DW11" s="3" t="s">
        <v>28</v>
      </c>
      <c r="DX11" s="9">
        <v>4986</v>
      </c>
      <c r="DY11" s="3" t="s">
        <v>28</v>
      </c>
      <c r="DZ11" s="9">
        <v>4986</v>
      </c>
      <c r="EA11" s="3" t="s">
        <v>28</v>
      </c>
      <c r="EB11" s="9">
        <v>4986</v>
      </c>
      <c r="EC11" s="3" t="s">
        <v>28</v>
      </c>
      <c r="ED11" s="9">
        <v>4986</v>
      </c>
      <c r="EE11" s="3" t="s">
        <v>28</v>
      </c>
      <c r="EF11" s="9">
        <v>4986</v>
      </c>
      <c r="EG11" s="3" t="s">
        <v>28</v>
      </c>
      <c r="EH11" s="9">
        <v>4986</v>
      </c>
      <c r="EI11" s="3" t="s">
        <v>28</v>
      </c>
      <c r="EJ11" s="9">
        <v>4986</v>
      </c>
      <c r="EK11" s="3" t="s">
        <v>28</v>
      </c>
      <c r="EL11" s="9">
        <v>4986</v>
      </c>
      <c r="EM11" s="3" t="s">
        <v>28</v>
      </c>
      <c r="EN11" s="9">
        <v>4986</v>
      </c>
      <c r="EO11" s="3" t="s">
        <v>28</v>
      </c>
      <c r="EP11" s="9">
        <v>4986</v>
      </c>
      <c r="EQ11" s="3" t="s">
        <v>28</v>
      </c>
      <c r="ER11" s="9">
        <v>4986</v>
      </c>
      <c r="ES11" s="3" t="s">
        <v>28</v>
      </c>
      <c r="ET11" s="9">
        <v>4986</v>
      </c>
      <c r="EU11" s="3" t="s">
        <v>28</v>
      </c>
      <c r="EV11" s="9">
        <v>4986</v>
      </c>
      <c r="EW11" s="3" t="s">
        <v>28</v>
      </c>
      <c r="EX11" s="9">
        <v>4986</v>
      </c>
      <c r="EY11" s="3" t="s">
        <v>28</v>
      </c>
      <c r="EZ11" s="9">
        <v>4986</v>
      </c>
      <c r="FA11" s="3" t="s">
        <v>28</v>
      </c>
      <c r="FB11" s="9">
        <v>4986</v>
      </c>
      <c r="FC11" s="3" t="s">
        <v>28</v>
      </c>
      <c r="FD11" s="9">
        <v>4986</v>
      </c>
      <c r="FE11" s="3" t="s">
        <v>28</v>
      </c>
      <c r="FF11" s="9">
        <v>4986</v>
      </c>
      <c r="FG11" s="3" t="s">
        <v>28</v>
      </c>
      <c r="FH11" s="9">
        <v>4986</v>
      </c>
      <c r="FI11" s="3" t="s">
        <v>28</v>
      </c>
      <c r="FJ11" s="9">
        <v>4986</v>
      </c>
      <c r="FK11" s="3" t="s">
        <v>28</v>
      </c>
      <c r="FL11" s="9">
        <v>4986</v>
      </c>
      <c r="FM11" s="3" t="s">
        <v>28</v>
      </c>
      <c r="FN11" s="9">
        <v>4986</v>
      </c>
      <c r="FO11" s="3" t="s">
        <v>28</v>
      </c>
      <c r="FP11" s="9">
        <v>4986</v>
      </c>
      <c r="FQ11" s="3" t="s">
        <v>28</v>
      </c>
      <c r="FR11" s="9">
        <v>4986</v>
      </c>
      <c r="FS11" s="3" t="s">
        <v>28</v>
      </c>
      <c r="FT11" s="9">
        <v>4986</v>
      </c>
      <c r="FU11" s="3" t="s">
        <v>28</v>
      </c>
      <c r="FV11" s="9">
        <v>4986</v>
      </c>
      <c r="FW11" s="3" t="s">
        <v>28</v>
      </c>
      <c r="FX11" s="9">
        <v>4986</v>
      </c>
      <c r="FY11" s="3" t="s">
        <v>28</v>
      </c>
      <c r="FZ11" s="9">
        <v>4986</v>
      </c>
      <c r="GA11" s="3" t="s">
        <v>28</v>
      </c>
      <c r="GB11" s="9">
        <v>4986</v>
      </c>
      <c r="GC11" s="3" t="s">
        <v>28</v>
      </c>
      <c r="GD11" s="9">
        <v>4986</v>
      </c>
      <c r="GE11" s="3" t="s">
        <v>28</v>
      </c>
      <c r="GF11" s="9">
        <v>4986</v>
      </c>
      <c r="GG11" s="3" t="s">
        <v>28</v>
      </c>
      <c r="GH11" s="9">
        <v>4986</v>
      </c>
      <c r="GI11" s="3" t="s">
        <v>28</v>
      </c>
      <c r="GJ11" s="9">
        <v>4986</v>
      </c>
      <c r="GK11" s="3" t="s">
        <v>28</v>
      </c>
      <c r="GL11" s="9">
        <v>4986</v>
      </c>
      <c r="GM11" s="3" t="s">
        <v>28</v>
      </c>
      <c r="GN11" s="9">
        <v>4986</v>
      </c>
      <c r="GO11" s="3" t="s">
        <v>28</v>
      </c>
      <c r="GP11" s="9">
        <v>4986</v>
      </c>
      <c r="GQ11" s="3" t="s">
        <v>28</v>
      </c>
      <c r="GR11" s="9">
        <v>4986</v>
      </c>
      <c r="GS11" s="3" t="s">
        <v>28</v>
      </c>
      <c r="GT11" s="9">
        <v>4986</v>
      </c>
      <c r="GU11" s="3" t="s">
        <v>28</v>
      </c>
      <c r="GV11" s="9">
        <v>4986</v>
      </c>
      <c r="GW11" s="3" t="s">
        <v>28</v>
      </c>
      <c r="GX11" s="9">
        <v>4986</v>
      </c>
      <c r="GY11" s="3" t="s">
        <v>28</v>
      </c>
      <c r="GZ11" s="9">
        <v>4986</v>
      </c>
      <c r="HA11" s="3" t="s">
        <v>28</v>
      </c>
      <c r="HB11" s="9">
        <v>4986</v>
      </c>
      <c r="HC11" s="3" t="s">
        <v>28</v>
      </c>
      <c r="HD11" s="9">
        <v>4986</v>
      </c>
      <c r="HE11" s="3" t="s">
        <v>28</v>
      </c>
      <c r="HF11" s="9">
        <v>4986</v>
      </c>
      <c r="HG11" s="3" t="s">
        <v>28</v>
      </c>
      <c r="HH11" s="9">
        <v>4986</v>
      </c>
      <c r="HI11" s="3" t="s">
        <v>28</v>
      </c>
      <c r="HJ11" s="9">
        <v>4986</v>
      </c>
      <c r="HK11" s="3" t="s">
        <v>28</v>
      </c>
      <c r="HL11" s="9">
        <v>4986</v>
      </c>
      <c r="HM11" s="3" t="s">
        <v>28</v>
      </c>
      <c r="HN11" s="9">
        <v>4986</v>
      </c>
      <c r="HO11" s="3" t="s">
        <v>28</v>
      </c>
      <c r="HP11" s="9">
        <v>4986</v>
      </c>
      <c r="HQ11" s="3" t="s">
        <v>28</v>
      </c>
      <c r="HR11" s="9">
        <v>4986</v>
      </c>
      <c r="HS11" s="3" t="s">
        <v>28</v>
      </c>
      <c r="HT11" s="9">
        <v>4986</v>
      </c>
      <c r="HU11" s="3" t="s">
        <v>28</v>
      </c>
      <c r="HV11" s="9">
        <v>4986</v>
      </c>
      <c r="HW11" s="3" t="s">
        <v>28</v>
      </c>
      <c r="HX11" s="9">
        <v>4986</v>
      </c>
      <c r="HY11" s="3" t="s">
        <v>28</v>
      </c>
      <c r="HZ11" s="9">
        <v>4986</v>
      </c>
      <c r="IA11" s="3" t="s">
        <v>28</v>
      </c>
      <c r="IB11" s="9">
        <v>4986</v>
      </c>
      <c r="IC11" s="3" t="s">
        <v>28</v>
      </c>
      <c r="ID11" s="9">
        <v>4986</v>
      </c>
      <c r="IE11" s="3" t="s">
        <v>28</v>
      </c>
      <c r="IF11" s="9">
        <v>4986</v>
      </c>
      <c r="IG11" s="3" t="s">
        <v>28</v>
      </c>
      <c r="IH11" s="9">
        <v>4986</v>
      </c>
      <c r="II11" s="3" t="s">
        <v>28</v>
      </c>
      <c r="IJ11" s="9">
        <v>4986</v>
      </c>
      <c r="IK11" s="3" t="s">
        <v>28</v>
      </c>
      <c r="IL11" s="9">
        <v>4986</v>
      </c>
      <c r="IM11" s="3" t="s">
        <v>28</v>
      </c>
      <c r="IN11" s="9">
        <v>4986</v>
      </c>
      <c r="IO11" s="3" t="s">
        <v>28</v>
      </c>
      <c r="IP11" s="9">
        <v>4986</v>
      </c>
      <c r="IQ11" s="3" t="s">
        <v>28</v>
      </c>
      <c r="IR11" s="9">
        <v>4986</v>
      </c>
      <c r="IS11" s="3" t="s">
        <v>28</v>
      </c>
      <c r="IT11" s="9">
        <v>4986</v>
      </c>
      <c r="IU11" s="3" t="s">
        <v>28</v>
      </c>
      <c r="IV11" s="9">
        <v>4986</v>
      </c>
    </row>
    <row r="12" spans="1:256" ht="20.149999999999999" x14ac:dyDescent="0.5">
      <c r="A12" s="21" t="s">
        <v>6</v>
      </c>
      <c r="B12" s="21">
        <f>SUM(B9:B11)</f>
        <v>11364</v>
      </c>
      <c r="C12" s="25"/>
      <c r="D12" s="19"/>
      <c r="E12" s="18"/>
      <c r="F12" s="19"/>
      <c r="G12" s="18"/>
      <c r="H12" s="27">
        <f>SUM(H9:H11)</f>
        <v>16235</v>
      </c>
      <c r="I12" s="18"/>
      <c r="J12" s="19"/>
      <c r="K12" s="18"/>
      <c r="L12" s="19"/>
      <c r="M12" s="18"/>
      <c r="N12" s="19"/>
      <c r="O12" s="18"/>
      <c r="P12" s="19"/>
      <c r="Q12" s="18"/>
      <c r="R12" s="19"/>
      <c r="S12" s="18"/>
      <c r="T12" s="19"/>
      <c r="U12" s="18"/>
      <c r="V12" s="19"/>
      <c r="W12" s="18"/>
      <c r="X12" s="19"/>
      <c r="Y12" s="18"/>
      <c r="Z12" s="19"/>
      <c r="AA12" s="18"/>
      <c r="AB12" s="19"/>
      <c r="AC12" s="18"/>
      <c r="AD12" s="19"/>
      <c r="AE12" s="18"/>
      <c r="AF12" s="15"/>
      <c r="AG12" s="3"/>
      <c r="AH12" s="9"/>
      <c r="AI12" s="3"/>
      <c r="AJ12" s="9"/>
      <c r="AK12" s="3"/>
      <c r="AL12" s="9">
        <v>5270</v>
      </c>
      <c r="AM12" s="3" t="s">
        <v>10</v>
      </c>
      <c r="AN12" s="9">
        <v>5270</v>
      </c>
      <c r="AO12" s="3" t="s">
        <v>10</v>
      </c>
      <c r="AP12" s="9">
        <v>5270</v>
      </c>
      <c r="AQ12" s="3" t="s">
        <v>10</v>
      </c>
      <c r="AR12" s="9">
        <v>5270</v>
      </c>
      <c r="AS12" s="3" t="s">
        <v>10</v>
      </c>
      <c r="AT12" s="9">
        <v>5270</v>
      </c>
      <c r="AU12" s="3" t="s">
        <v>10</v>
      </c>
      <c r="AV12" s="9">
        <v>5270</v>
      </c>
      <c r="AW12" s="3" t="s">
        <v>10</v>
      </c>
      <c r="AX12" s="9">
        <v>5270</v>
      </c>
      <c r="AY12" s="3" t="s">
        <v>10</v>
      </c>
      <c r="AZ12" s="9">
        <v>5270</v>
      </c>
      <c r="BA12" s="3" t="s">
        <v>10</v>
      </c>
      <c r="BB12" s="9">
        <v>5270</v>
      </c>
      <c r="BC12" s="3" t="s">
        <v>10</v>
      </c>
      <c r="BD12" s="9">
        <v>5270</v>
      </c>
      <c r="BE12" s="3" t="s">
        <v>10</v>
      </c>
      <c r="BF12" s="9">
        <v>5270</v>
      </c>
      <c r="BG12" s="3" t="s">
        <v>10</v>
      </c>
      <c r="BH12" s="9">
        <v>5270</v>
      </c>
      <c r="BI12" s="3" t="s">
        <v>10</v>
      </c>
      <c r="BJ12" s="9">
        <v>5270</v>
      </c>
      <c r="BK12" s="3" t="s">
        <v>10</v>
      </c>
      <c r="BL12" s="9">
        <v>5270</v>
      </c>
      <c r="BM12" s="3" t="s">
        <v>10</v>
      </c>
      <c r="BN12" s="9">
        <v>5270</v>
      </c>
      <c r="BO12" s="3" t="s">
        <v>10</v>
      </c>
      <c r="BP12" s="9">
        <v>5270</v>
      </c>
      <c r="BQ12" s="3" t="s">
        <v>10</v>
      </c>
      <c r="BR12" s="9">
        <v>5270</v>
      </c>
      <c r="BS12" s="3" t="s">
        <v>10</v>
      </c>
      <c r="BT12" s="9">
        <v>5270</v>
      </c>
      <c r="BU12" s="3" t="s">
        <v>10</v>
      </c>
      <c r="BV12" s="9">
        <v>5270</v>
      </c>
      <c r="BW12" s="3" t="s">
        <v>10</v>
      </c>
      <c r="BX12" s="9">
        <v>5270</v>
      </c>
      <c r="BY12" s="3" t="s">
        <v>10</v>
      </c>
      <c r="BZ12" s="9">
        <v>5270</v>
      </c>
      <c r="CA12" s="3" t="s">
        <v>10</v>
      </c>
      <c r="CB12" s="9">
        <v>5270</v>
      </c>
      <c r="CC12" s="3" t="s">
        <v>10</v>
      </c>
      <c r="CD12" s="9">
        <v>5270</v>
      </c>
      <c r="CE12" s="3" t="s">
        <v>10</v>
      </c>
      <c r="CF12" s="9">
        <v>5270</v>
      </c>
      <c r="CG12" s="3" t="s">
        <v>10</v>
      </c>
      <c r="CH12" s="9">
        <v>5270</v>
      </c>
      <c r="CI12" s="3" t="s">
        <v>10</v>
      </c>
      <c r="CJ12" s="9">
        <v>5270</v>
      </c>
      <c r="CK12" s="3" t="s">
        <v>10</v>
      </c>
      <c r="CL12" s="9">
        <v>5270</v>
      </c>
      <c r="CM12" s="3" t="s">
        <v>10</v>
      </c>
      <c r="CN12" s="9">
        <v>5270</v>
      </c>
      <c r="CO12" s="3" t="s">
        <v>10</v>
      </c>
      <c r="CP12" s="9">
        <v>5270</v>
      </c>
      <c r="CQ12" s="3" t="s">
        <v>10</v>
      </c>
      <c r="CR12" s="9">
        <v>5270</v>
      </c>
      <c r="CS12" s="3" t="s">
        <v>10</v>
      </c>
      <c r="CT12" s="9">
        <v>5270</v>
      </c>
      <c r="CU12" s="3" t="s">
        <v>10</v>
      </c>
      <c r="CV12" s="9">
        <v>5270</v>
      </c>
      <c r="CW12" s="3" t="s">
        <v>10</v>
      </c>
      <c r="CX12" s="9">
        <v>5270</v>
      </c>
      <c r="CY12" s="3" t="s">
        <v>10</v>
      </c>
      <c r="CZ12" s="9">
        <v>5270</v>
      </c>
      <c r="DA12" s="3" t="s">
        <v>10</v>
      </c>
      <c r="DB12" s="9">
        <v>5270</v>
      </c>
      <c r="DC12" s="3" t="s">
        <v>10</v>
      </c>
      <c r="DD12" s="9">
        <v>5270</v>
      </c>
      <c r="DE12" s="3" t="s">
        <v>10</v>
      </c>
      <c r="DF12" s="9">
        <v>5270</v>
      </c>
      <c r="DG12" s="3" t="s">
        <v>10</v>
      </c>
      <c r="DH12" s="9">
        <v>5270</v>
      </c>
      <c r="DI12" s="3" t="s">
        <v>10</v>
      </c>
      <c r="DJ12" s="9">
        <v>5270</v>
      </c>
      <c r="DK12" s="3" t="s">
        <v>10</v>
      </c>
      <c r="DL12" s="9">
        <v>5270</v>
      </c>
      <c r="DM12" s="3" t="s">
        <v>10</v>
      </c>
      <c r="DN12" s="9">
        <v>5270</v>
      </c>
      <c r="DO12" s="3" t="s">
        <v>10</v>
      </c>
      <c r="DP12" s="9">
        <v>5270</v>
      </c>
      <c r="DQ12" s="3" t="s">
        <v>10</v>
      </c>
      <c r="DR12" s="9">
        <v>5270</v>
      </c>
      <c r="DS12" s="3" t="s">
        <v>10</v>
      </c>
      <c r="DT12" s="9">
        <v>5270</v>
      </c>
      <c r="DU12" s="3" t="s">
        <v>10</v>
      </c>
      <c r="DV12" s="9">
        <v>5270</v>
      </c>
      <c r="DW12" s="3" t="s">
        <v>10</v>
      </c>
      <c r="DX12" s="9">
        <v>5270</v>
      </c>
      <c r="DY12" s="3" t="s">
        <v>10</v>
      </c>
      <c r="DZ12" s="9">
        <v>5270</v>
      </c>
      <c r="EA12" s="3" t="s">
        <v>10</v>
      </c>
      <c r="EB12" s="9">
        <v>5270</v>
      </c>
      <c r="EC12" s="3" t="s">
        <v>10</v>
      </c>
      <c r="ED12" s="9">
        <v>5270</v>
      </c>
      <c r="EE12" s="3" t="s">
        <v>10</v>
      </c>
      <c r="EF12" s="9">
        <v>5270</v>
      </c>
      <c r="EG12" s="3" t="s">
        <v>10</v>
      </c>
      <c r="EH12" s="9">
        <v>5270</v>
      </c>
      <c r="EI12" s="3" t="s">
        <v>10</v>
      </c>
      <c r="EJ12" s="9">
        <v>5270</v>
      </c>
      <c r="EK12" s="3" t="s">
        <v>10</v>
      </c>
      <c r="EL12" s="9">
        <v>5270</v>
      </c>
      <c r="EM12" s="3" t="s">
        <v>10</v>
      </c>
      <c r="EN12" s="9">
        <v>5270</v>
      </c>
      <c r="EO12" s="3" t="s">
        <v>10</v>
      </c>
      <c r="EP12" s="9">
        <v>5270</v>
      </c>
      <c r="EQ12" s="3" t="s">
        <v>10</v>
      </c>
      <c r="ER12" s="9">
        <v>5270</v>
      </c>
      <c r="ES12" s="3" t="s">
        <v>10</v>
      </c>
      <c r="ET12" s="9">
        <v>5270</v>
      </c>
      <c r="EU12" s="3" t="s">
        <v>10</v>
      </c>
      <c r="EV12" s="9">
        <v>5270</v>
      </c>
      <c r="EW12" s="3" t="s">
        <v>10</v>
      </c>
      <c r="EX12" s="9">
        <v>5270</v>
      </c>
      <c r="EY12" s="3" t="s">
        <v>10</v>
      </c>
      <c r="EZ12" s="9">
        <v>5270</v>
      </c>
      <c r="FA12" s="3" t="s">
        <v>10</v>
      </c>
      <c r="FB12" s="9">
        <v>5270</v>
      </c>
      <c r="FC12" s="3" t="s">
        <v>10</v>
      </c>
      <c r="FD12" s="9">
        <v>5270</v>
      </c>
      <c r="FE12" s="3" t="s">
        <v>10</v>
      </c>
      <c r="FF12" s="9">
        <v>5270</v>
      </c>
      <c r="FG12" s="3" t="s">
        <v>10</v>
      </c>
      <c r="FH12" s="9">
        <v>5270</v>
      </c>
      <c r="FI12" s="3" t="s">
        <v>10</v>
      </c>
      <c r="FJ12" s="9">
        <v>5270</v>
      </c>
      <c r="FK12" s="3" t="s">
        <v>10</v>
      </c>
      <c r="FL12" s="9">
        <v>5270</v>
      </c>
      <c r="FM12" s="3" t="s">
        <v>10</v>
      </c>
      <c r="FN12" s="9">
        <v>5270</v>
      </c>
      <c r="FO12" s="3" t="s">
        <v>10</v>
      </c>
      <c r="FP12" s="9">
        <v>5270</v>
      </c>
      <c r="FQ12" s="3" t="s">
        <v>10</v>
      </c>
      <c r="FR12" s="9">
        <v>5270</v>
      </c>
      <c r="FS12" s="3" t="s">
        <v>10</v>
      </c>
      <c r="FT12" s="9">
        <v>5270</v>
      </c>
      <c r="FU12" s="3" t="s">
        <v>10</v>
      </c>
      <c r="FV12" s="9">
        <v>5270</v>
      </c>
      <c r="FW12" s="3" t="s">
        <v>10</v>
      </c>
      <c r="FX12" s="9">
        <v>5270</v>
      </c>
      <c r="FY12" s="3" t="s">
        <v>10</v>
      </c>
      <c r="FZ12" s="9">
        <v>5270</v>
      </c>
      <c r="GA12" s="3" t="s">
        <v>10</v>
      </c>
      <c r="GB12" s="9">
        <v>5270</v>
      </c>
      <c r="GC12" s="3" t="s">
        <v>10</v>
      </c>
      <c r="GD12" s="9">
        <v>5270</v>
      </c>
      <c r="GE12" s="3" t="s">
        <v>10</v>
      </c>
      <c r="GF12" s="9">
        <v>5270</v>
      </c>
      <c r="GG12" s="3" t="s">
        <v>10</v>
      </c>
      <c r="GH12" s="9">
        <v>5270</v>
      </c>
      <c r="GI12" s="3" t="s">
        <v>10</v>
      </c>
      <c r="GJ12" s="9">
        <v>5270</v>
      </c>
      <c r="GK12" s="3" t="s">
        <v>10</v>
      </c>
      <c r="GL12" s="9">
        <v>5270</v>
      </c>
      <c r="GM12" s="3" t="s">
        <v>10</v>
      </c>
      <c r="GN12" s="9">
        <v>5270</v>
      </c>
      <c r="GO12" s="3" t="s">
        <v>10</v>
      </c>
      <c r="GP12" s="9">
        <v>5270</v>
      </c>
      <c r="GQ12" s="3" t="s">
        <v>10</v>
      </c>
      <c r="GR12" s="9">
        <v>5270</v>
      </c>
      <c r="GS12" s="3" t="s">
        <v>10</v>
      </c>
      <c r="GT12" s="9">
        <v>5270</v>
      </c>
      <c r="GU12" s="3" t="s">
        <v>10</v>
      </c>
      <c r="GV12" s="9">
        <v>5270</v>
      </c>
      <c r="GW12" s="3" t="s">
        <v>10</v>
      </c>
      <c r="GX12" s="9">
        <v>5270</v>
      </c>
      <c r="GY12" s="3" t="s">
        <v>10</v>
      </c>
      <c r="GZ12" s="9">
        <v>5270</v>
      </c>
      <c r="HA12" s="3" t="s">
        <v>10</v>
      </c>
      <c r="HB12" s="9">
        <v>5270</v>
      </c>
      <c r="HC12" s="3" t="s">
        <v>10</v>
      </c>
      <c r="HD12" s="9">
        <v>5270</v>
      </c>
      <c r="HE12" s="3" t="s">
        <v>10</v>
      </c>
      <c r="HF12" s="9">
        <v>5270</v>
      </c>
      <c r="HG12" s="3" t="s">
        <v>10</v>
      </c>
      <c r="HH12" s="9">
        <v>5270</v>
      </c>
      <c r="HI12" s="3" t="s">
        <v>10</v>
      </c>
      <c r="HJ12" s="9">
        <v>5270</v>
      </c>
      <c r="HK12" s="3" t="s">
        <v>10</v>
      </c>
      <c r="HL12" s="9">
        <v>5270</v>
      </c>
      <c r="HM12" s="3" t="s">
        <v>10</v>
      </c>
      <c r="HN12" s="9">
        <v>5270</v>
      </c>
      <c r="HO12" s="3" t="s">
        <v>10</v>
      </c>
      <c r="HP12" s="9">
        <v>5270</v>
      </c>
      <c r="HQ12" s="3" t="s">
        <v>10</v>
      </c>
      <c r="HR12" s="9">
        <v>5270</v>
      </c>
      <c r="HS12" s="3" t="s">
        <v>10</v>
      </c>
      <c r="HT12" s="9">
        <v>5270</v>
      </c>
      <c r="HU12" s="3" t="s">
        <v>10</v>
      </c>
      <c r="HV12" s="9">
        <v>5270</v>
      </c>
      <c r="HW12" s="3" t="s">
        <v>10</v>
      </c>
      <c r="HX12" s="9">
        <v>5270</v>
      </c>
      <c r="HY12" s="3" t="s">
        <v>10</v>
      </c>
      <c r="HZ12" s="9">
        <v>5270</v>
      </c>
      <c r="IA12" s="3" t="s">
        <v>10</v>
      </c>
      <c r="IB12" s="9">
        <v>5270</v>
      </c>
      <c r="IC12" s="3" t="s">
        <v>10</v>
      </c>
      <c r="ID12" s="9">
        <v>5270</v>
      </c>
      <c r="IE12" s="3" t="s">
        <v>10</v>
      </c>
      <c r="IF12" s="9">
        <v>5270</v>
      </c>
      <c r="IG12" s="3" t="s">
        <v>10</v>
      </c>
      <c r="IH12" s="9">
        <v>5270</v>
      </c>
      <c r="II12" s="3" t="s">
        <v>10</v>
      </c>
      <c r="IJ12" s="9">
        <v>5270</v>
      </c>
      <c r="IK12" s="3" t="s">
        <v>10</v>
      </c>
      <c r="IL12" s="9">
        <v>5270</v>
      </c>
      <c r="IM12" s="3" t="s">
        <v>10</v>
      </c>
      <c r="IN12" s="9">
        <v>5270</v>
      </c>
      <c r="IO12" s="3" t="s">
        <v>10</v>
      </c>
      <c r="IP12" s="9">
        <v>5270</v>
      </c>
      <c r="IQ12" s="3" t="s">
        <v>10</v>
      </c>
      <c r="IR12" s="9">
        <v>5270</v>
      </c>
      <c r="IS12" s="3" t="s">
        <v>10</v>
      </c>
      <c r="IT12" s="9">
        <v>5270</v>
      </c>
      <c r="IU12" s="3" t="s">
        <v>10</v>
      </c>
      <c r="IV12" s="9">
        <v>5270</v>
      </c>
    </row>
    <row r="13" spans="1:256" ht="20.149999999999999" x14ac:dyDescent="0.5">
      <c r="A13" s="22" t="s">
        <v>24</v>
      </c>
      <c r="B13" s="22">
        <v>1449</v>
      </c>
      <c r="C13" s="25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6"/>
      <c r="AG13" s="5"/>
      <c r="AH13" s="6"/>
      <c r="AI13" s="5"/>
      <c r="AJ13" s="6"/>
      <c r="AK13" s="5"/>
      <c r="AL13" s="6">
        <f>SUM(AL11:AL12)</f>
        <v>10256</v>
      </c>
      <c r="AM13" s="5" t="s">
        <v>6</v>
      </c>
      <c r="AN13" s="6">
        <f>SUM(AN11:AN12)</f>
        <v>10256</v>
      </c>
      <c r="AO13" s="5" t="s">
        <v>6</v>
      </c>
      <c r="AP13" s="6">
        <f>SUM(AP11:AP12)</f>
        <v>10256</v>
      </c>
      <c r="AQ13" s="5" t="s">
        <v>6</v>
      </c>
      <c r="AR13" s="6">
        <f>SUM(AR11:AR12)</f>
        <v>10256</v>
      </c>
      <c r="AS13" s="5" t="s">
        <v>6</v>
      </c>
      <c r="AT13" s="6">
        <f>SUM(AT11:AT12)</f>
        <v>10256</v>
      </c>
      <c r="AU13" s="5" t="s">
        <v>6</v>
      </c>
      <c r="AV13" s="6">
        <f>SUM(AV11:AV12)</f>
        <v>10256</v>
      </c>
      <c r="AW13" s="5" t="s">
        <v>6</v>
      </c>
      <c r="AX13" s="6">
        <f>SUM(AX11:AX12)</f>
        <v>10256</v>
      </c>
      <c r="AY13" s="5" t="s">
        <v>6</v>
      </c>
      <c r="AZ13" s="6">
        <f>SUM(AZ11:AZ12)</f>
        <v>10256</v>
      </c>
      <c r="BA13" s="5" t="s">
        <v>6</v>
      </c>
      <c r="BB13" s="6">
        <f>SUM(BB11:BB12)</f>
        <v>10256</v>
      </c>
      <c r="BC13" s="5" t="s">
        <v>6</v>
      </c>
      <c r="BD13" s="6">
        <f>SUM(BD11:BD12)</f>
        <v>10256</v>
      </c>
      <c r="BE13" s="5" t="s">
        <v>6</v>
      </c>
      <c r="BF13" s="6">
        <f>SUM(BF11:BF12)</f>
        <v>10256</v>
      </c>
      <c r="BG13" s="5" t="s">
        <v>6</v>
      </c>
      <c r="BH13" s="6">
        <f>SUM(BH11:BH12)</f>
        <v>10256</v>
      </c>
      <c r="BI13" s="5" t="s">
        <v>6</v>
      </c>
      <c r="BJ13" s="6">
        <f>SUM(BJ11:BJ12)</f>
        <v>10256</v>
      </c>
      <c r="BK13" s="5" t="s">
        <v>6</v>
      </c>
      <c r="BL13" s="6">
        <f>SUM(BL11:BL12)</f>
        <v>10256</v>
      </c>
      <c r="BM13" s="5" t="s">
        <v>6</v>
      </c>
      <c r="BN13" s="6">
        <f>SUM(BN11:BN12)</f>
        <v>10256</v>
      </c>
      <c r="BO13" s="5" t="s">
        <v>6</v>
      </c>
      <c r="BP13" s="6">
        <f>SUM(BP11:BP12)</f>
        <v>10256</v>
      </c>
      <c r="BQ13" s="5" t="s">
        <v>6</v>
      </c>
      <c r="BR13" s="6">
        <f>SUM(BR11:BR12)</f>
        <v>10256</v>
      </c>
      <c r="BS13" s="5" t="s">
        <v>6</v>
      </c>
      <c r="BT13" s="6">
        <f>SUM(BT11:BT12)</f>
        <v>10256</v>
      </c>
      <c r="BU13" s="5" t="s">
        <v>6</v>
      </c>
      <c r="BV13" s="6">
        <f>SUM(BV11:BV12)</f>
        <v>10256</v>
      </c>
      <c r="BW13" s="5" t="s">
        <v>6</v>
      </c>
      <c r="BX13" s="6">
        <f>SUM(BX11:BX12)</f>
        <v>10256</v>
      </c>
      <c r="BY13" s="5" t="s">
        <v>6</v>
      </c>
      <c r="BZ13" s="6">
        <f>SUM(BZ11:BZ12)</f>
        <v>10256</v>
      </c>
      <c r="CA13" s="5" t="s">
        <v>6</v>
      </c>
      <c r="CB13" s="6">
        <f>SUM(CB11:CB12)</f>
        <v>10256</v>
      </c>
      <c r="CC13" s="5" t="s">
        <v>6</v>
      </c>
      <c r="CD13" s="6">
        <f>SUM(CD11:CD12)</f>
        <v>10256</v>
      </c>
      <c r="CE13" s="5" t="s">
        <v>6</v>
      </c>
      <c r="CF13" s="6">
        <f>SUM(CF11:CF12)</f>
        <v>10256</v>
      </c>
      <c r="CG13" s="5" t="s">
        <v>6</v>
      </c>
      <c r="CH13" s="6">
        <f>SUM(CH11:CH12)</f>
        <v>10256</v>
      </c>
      <c r="CI13" s="5" t="s">
        <v>6</v>
      </c>
      <c r="CJ13" s="6">
        <f>SUM(CJ11:CJ12)</f>
        <v>10256</v>
      </c>
      <c r="CK13" s="5" t="s">
        <v>6</v>
      </c>
      <c r="CL13" s="6">
        <f>SUM(CL11:CL12)</f>
        <v>10256</v>
      </c>
      <c r="CM13" s="5" t="s">
        <v>6</v>
      </c>
      <c r="CN13" s="6">
        <f>SUM(CN11:CN12)</f>
        <v>10256</v>
      </c>
      <c r="CO13" s="5" t="s">
        <v>6</v>
      </c>
      <c r="CP13" s="6">
        <f>SUM(CP11:CP12)</f>
        <v>10256</v>
      </c>
      <c r="CQ13" s="5" t="s">
        <v>6</v>
      </c>
      <c r="CR13" s="6">
        <f>SUM(CR11:CR12)</f>
        <v>10256</v>
      </c>
      <c r="CS13" s="5" t="s">
        <v>6</v>
      </c>
      <c r="CT13" s="6">
        <f>SUM(CT11:CT12)</f>
        <v>10256</v>
      </c>
      <c r="CU13" s="5" t="s">
        <v>6</v>
      </c>
      <c r="CV13" s="6">
        <f>SUM(CV11:CV12)</f>
        <v>10256</v>
      </c>
      <c r="CW13" s="5" t="s">
        <v>6</v>
      </c>
      <c r="CX13" s="6">
        <f>SUM(CX11:CX12)</f>
        <v>10256</v>
      </c>
      <c r="CY13" s="5" t="s">
        <v>6</v>
      </c>
      <c r="CZ13" s="6">
        <f>SUM(CZ11:CZ12)</f>
        <v>10256</v>
      </c>
      <c r="DA13" s="5" t="s">
        <v>6</v>
      </c>
      <c r="DB13" s="6">
        <f>SUM(DB11:DB12)</f>
        <v>10256</v>
      </c>
      <c r="DC13" s="5" t="s">
        <v>6</v>
      </c>
      <c r="DD13" s="6">
        <f>SUM(DD11:DD12)</f>
        <v>10256</v>
      </c>
      <c r="DE13" s="5" t="s">
        <v>6</v>
      </c>
      <c r="DF13" s="6">
        <f>SUM(DF11:DF12)</f>
        <v>10256</v>
      </c>
      <c r="DG13" s="5" t="s">
        <v>6</v>
      </c>
      <c r="DH13" s="6">
        <f>SUM(DH11:DH12)</f>
        <v>10256</v>
      </c>
      <c r="DI13" s="5" t="s">
        <v>6</v>
      </c>
      <c r="DJ13" s="6">
        <f>SUM(DJ11:DJ12)</f>
        <v>10256</v>
      </c>
      <c r="DK13" s="5" t="s">
        <v>6</v>
      </c>
      <c r="DL13" s="6">
        <f>SUM(DL11:DL12)</f>
        <v>10256</v>
      </c>
      <c r="DM13" s="5" t="s">
        <v>6</v>
      </c>
      <c r="DN13" s="6">
        <f>SUM(DN11:DN12)</f>
        <v>10256</v>
      </c>
      <c r="DO13" s="5" t="s">
        <v>6</v>
      </c>
      <c r="DP13" s="6">
        <f>SUM(DP11:DP12)</f>
        <v>10256</v>
      </c>
      <c r="DQ13" s="5" t="s">
        <v>6</v>
      </c>
      <c r="DR13" s="6">
        <f>SUM(DR11:DR12)</f>
        <v>10256</v>
      </c>
      <c r="DS13" s="5" t="s">
        <v>6</v>
      </c>
      <c r="DT13" s="6">
        <f>SUM(DT11:DT12)</f>
        <v>10256</v>
      </c>
      <c r="DU13" s="5" t="s">
        <v>6</v>
      </c>
      <c r="DV13" s="6">
        <f>SUM(DV11:DV12)</f>
        <v>10256</v>
      </c>
      <c r="DW13" s="5" t="s">
        <v>6</v>
      </c>
      <c r="DX13" s="6">
        <f>SUM(DX11:DX12)</f>
        <v>10256</v>
      </c>
      <c r="DY13" s="5" t="s">
        <v>6</v>
      </c>
      <c r="DZ13" s="6">
        <f>SUM(DZ11:DZ12)</f>
        <v>10256</v>
      </c>
      <c r="EA13" s="5" t="s">
        <v>6</v>
      </c>
      <c r="EB13" s="6">
        <f>SUM(EB11:EB12)</f>
        <v>10256</v>
      </c>
      <c r="EC13" s="5" t="s">
        <v>6</v>
      </c>
      <c r="ED13" s="6">
        <f>SUM(ED11:ED12)</f>
        <v>10256</v>
      </c>
      <c r="EE13" s="5" t="s">
        <v>6</v>
      </c>
      <c r="EF13" s="6">
        <f>SUM(EF11:EF12)</f>
        <v>10256</v>
      </c>
      <c r="EG13" s="5" t="s">
        <v>6</v>
      </c>
      <c r="EH13" s="6">
        <f>SUM(EH11:EH12)</f>
        <v>10256</v>
      </c>
      <c r="EI13" s="5" t="s">
        <v>6</v>
      </c>
      <c r="EJ13" s="6">
        <f>SUM(EJ11:EJ12)</f>
        <v>10256</v>
      </c>
      <c r="EK13" s="5" t="s">
        <v>6</v>
      </c>
      <c r="EL13" s="6">
        <f>SUM(EL11:EL12)</f>
        <v>10256</v>
      </c>
      <c r="EM13" s="5" t="s">
        <v>6</v>
      </c>
      <c r="EN13" s="6">
        <f>SUM(EN11:EN12)</f>
        <v>10256</v>
      </c>
      <c r="EO13" s="5" t="s">
        <v>6</v>
      </c>
      <c r="EP13" s="6">
        <f>SUM(EP11:EP12)</f>
        <v>10256</v>
      </c>
      <c r="EQ13" s="5" t="s">
        <v>6</v>
      </c>
      <c r="ER13" s="6">
        <f>SUM(ER11:ER12)</f>
        <v>10256</v>
      </c>
      <c r="ES13" s="5" t="s">
        <v>6</v>
      </c>
      <c r="ET13" s="6">
        <f>SUM(ET11:ET12)</f>
        <v>10256</v>
      </c>
      <c r="EU13" s="5" t="s">
        <v>6</v>
      </c>
      <c r="EV13" s="6">
        <f>SUM(EV11:EV12)</f>
        <v>10256</v>
      </c>
      <c r="EW13" s="5" t="s">
        <v>6</v>
      </c>
      <c r="EX13" s="6">
        <f>SUM(EX11:EX12)</f>
        <v>10256</v>
      </c>
      <c r="EY13" s="5" t="s">
        <v>6</v>
      </c>
      <c r="EZ13" s="6">
        <f>SUM(EZ11:EZ12)</f>
        <v>10256</v>
      </c>
      <c r="FA13" s="5" t="s">
        <v>6</v>
      </c>
      <c r="FB13" s="6">
        <f>SUM(FB11:FB12)</f>
        <v>10256</v>
      </c>
      <c r="FC13" s="5" t="s">
        <v>6</v>
      </c>
      <c r="FD13" s="6">
        <f>SUM(FD11:FD12)</f>
        <v>10256</v>
      </c>
      <c r="FE13" s="5" t="s">
        <v>6</v>
      </c>
      <c r="FF13" s="6">
        <f>SUM(FF11:FF12)</f>
        <v>10256</v>
      </c>
      <c r="FG13" s="5" t="s">
        <v>6</v>
      </c>
      <c r="FH13" s="6">
        <f>SUM(FH11:FH12)</f>
        <v>10256</v>
      </c>
      <c r="FI13" s="5" t="s">
        <v>6</v>
      </c>
      <c r="FJ13" s="6">
        <f>SUM(FJ11:FJ12)</f>
        <v>10256</v>
      </c>
      <c r="FK13" s="5" t="s">
        <v>6</v>
      </c>
      <c r="FL13" s="6">
        <f>SUM(FL11:FL12)</f>
        <v>10256</v>
      </c>
      <c r="FM13" s="5" t="s">
        <v>6</v>
      </c>
      <c r="FN13" s="6">
        <f>SUM(FN11:FN12)</f>
        <v>10256</v>
      </c>
      <c r="FO13" s="5" t="s">
        <v>6</v>
      </c>
      <c r="FP13" s="6">
        <f>SUM(FP11:FP12)</f>
        <v>10256</v>
      </c>
      <c r="FQ13" s="5" t="s">
        <v>6</v>
      </c>
      <c r="FR13" s="6">
        <f>SUM(FR11:FR12)</f>
        <v>10256</v>
      </c>
      <c r="FS13" s="5" t="s">
        <v>6</v>
      </c>
      <c r="FT13" s="6">
        <f>SUM(FT11:FT12)</f>
        <v>10256</v>
      </c>
      <c r="FU13" s="5" t="s">
        <v>6</v>
      </c>
      <c r="FV13" s="6">
        <f>SUM(FV11:FV12)</f>
        <v>10256</v>
      </c>
      <c r="FW13" s="5" t="s">
        <v>6</v>
      </c>
      <c r="FX13" s="6">
        <f>SUM(FX11:FX12)</f>
        <v>10256</v>
      </c>
      <c r="FY13" s="5" t="s">
        <v>6</v>
      </c>
      <c r="FZ13" s="6">
        <f>SUM(FZ11:FZ12)</f>
        <v>10256</v>
      </c>
      <c r="GA13" s="5" t="s">
        <v>6</v>
      </c>
      <c r="GB13" s="6">
        <f>SUM(GB11:GB12)</f>
        <v>10256</v>
      </c>
      <c r="GC13" s="5" t="s">
        <v>6</v>
      </c>
      <c r="GD13" s="6">
        <f>SUM(GD11:GD12)</f>
        <v>10256</v>
      </c>
      <c r="GE13" s="5" t="s">
        <v>6</v>
      </c>
      <c r="GF13" s="6">
        <f>SUM(GF11:GF12)</f>
        <v>10256</v>
      </c>
      <c r="GG13" s="5" t="s">
        <v>6</v>
      </c>
      <c r="GH13" s="6">
        <f>SUM(GH11:GH12)</f>
        <v>10256</v>
      </c>
      <c r="GI13" s="5" t="s">
        <v>6</v>
      </c>
      <c r="GJ13" s="6">
        <f>SUM(GJ11:GJ12)</f>
        <v>10256</v>
      </c>
      <c r="GK13" s="5" t="s">
        <v>6</v>
      </c>
      <c r="GL13" s="6">
        <f>SUM(GL11:GL12)</f>
        <v>10256</v>
      </c>
      <c r="GM13" s="5" t="s">
        <v>6</v>
      </c>
      <c r="GN13" s="6">
        <f>SUM(GN11:GN12)</f>
        <v>10256</v>
      </c>
      <c r="GO13" s="5" t="s">
        <v>6</v>
      </c>
      <c r="GP13" s="6">
        <f>SUM(GP11:GP12)</f>
        <v>10256</v>
      </c>
      <c r="GQ13" s="5" t="s">
        <v>6</v>
      </c>
      <c r="GR13" s="6">
        <f>SUM(GR11:GR12)</f>
        <v>10256</v>
      </c>
      <c r="GS13" s="5" t="s">
        <v>6</v>
      </c>
      <c r="GT13" s="6">
        <f>SUM(GT11:GT12)</f>
        <v>10256</v>
      </c>
      <c r="GU13" s="5" t="s">
        <v>6</v>
      </c>
      <c r="GV13" s="6">
        <f>SUM(GV11:GV12)</f>
        <v>10256</v>
      </c>
      <c r="GW13" s="5" t="s">
        <v>6</v>
      </c>
      <c r="GX13" s="6">
        <f>SUM(GX11:GX12)</f>
        <v>10256</v>
      </c>
      <c r="GY13" s="5" t="s">
        <v>6</v>
      </c>
      <c r="GZ13" s="6">
        <f>SUM(GZ11:GZ12)</f>
        <v>10256</v>
      </c>
      <c r="HA13" s="5" t="s">
        <v>6</v>
      </c>
      <c r="HB13" s="6">
        <f>SUM(HB11:HB12)</f>
        <v>10256</v>
      </c>
      <c r="HC13" s="5" t="s">
        <v>6</v>
      </c>
      <c r="HD13" s="6">
        <f>SUM(HD11:HD12)</f>
        <v>10256</v>
      </c>
      <c r="HE13" s="5" t="s">
        <v>6</v>
      </c>
      <c r="HF13" s="6">
        <f>SUM(HF11:HF12)</f>
        <v>10256</v>
      </c>
      <c r="HG13" s="5" t="s">
        <v>6</v>
      </c>
      <c r="HH13" s="6">
        <f>SUM(HH11:HH12)</f>
        <v>10256</v>
      </c>
      <c r="HI13" s="5" t="s">
        <v>6</v>
      </c>
      <c r="HJ13" s="6">
        <f>SUM(HJ11:HJ12)</f>
        <v>10256</v>
      </c>
      <c r="HK13" s="5" t="s">
        <v>6</v>
      </c>
      <c r="HL13" s="6">
        <f>SUM(HL11:HL12)</f>
        <v>10256</v>
      </c>
      <c r="HM13" s="5" t="s">
        <v>6</v>
      </c>
      <c r="HN13" s="6">
        <f>SUM(HN11:HN12)</f>
        <v>10256</v>
      </c>
      <c r="HO13" s="5" t="s">
        <v>6</v>
      </c>
      <c r="HP13" s="6">
        <f>SUM(HP11:HP12)</f>
        <v>10256</v>
      </c>
      <c r="HQ13" s="5" t="s">
        <v>6</v>
      </c>
      <c r="HR13" s="6">
        <f>SUM(HR11:HR12)</f>
        <v>10256</v>
      </c>
      <c r="HS13" s="5" t="s">
        <v>6</v>
      </c>
      <c r="HT13" s="6">
        <f>SUM(HT11:HT12)</f>
        <v>10256</v>
      </c>
      <c r="HU13" s="5" t="s">
        <v>6</v>
      </c>
      <c r="HV13" s="6">
        <f>SUM(HV11:HV12)</f>
        <v>10256</v>
      </c>
      <c r="HW13" s="5" t="s">
        <v>6</v>
      </c>
      <c r="HX13" s="6">
        <f>SUM(HX11:HX12)</f>
        <v>10256</v>
      </c>
      <c r="HY13" s="5" t="s">
        <v>6</v>
      </c>
      <c r="HZ13" s="6">
        <f>SUM(HZ11:HZ12)</f>
        <v>10256</v>
      </c>
      <c r="IA13" s="5" t="s">
        <v>6</v>
      </c>
      <c r="IB13" s="6">
        <f>SUM(IB11:IB12)</f>
        <v>10256</v>
      </c>
      <c r="IC13" s="5" t="s">
        <v>6</v>
      </c>
      <c r="ID13" s="6">
        <f>SUM(ID11:ID12)</f>
        <v>10256</v>
      </c>
      <c r="IE13" s="5" t="s">
        <v>6</v>
      </c>
      <c r="IF13" s="6">
        <f>SUM(IF11:IF12)</f>
        <v>10256</v>
      </c>
      <c r="IG13" s="5" t="s">
        <v>6</v>
      </c>
      <c r="IH13" s="6">
        <f>SUM(IH11:IH12)</f>
        <v>10256</v>
      </c>
      <c r="II13" s="5" t="s">
        <v>6</v>
      </c>
      <c r="IJ13" s="6">
        <f>SUM(IJ11:IJ12)</f>
        <v>10256</v>
      </c>
      <c r="IK13" s="5" t="s">
        <v>6</v>
      </c>
      <c r="IL13" s="6">
        <f>SUM(IL11:IL12)</f>
        <v>10256</v>
      </c>
      <c r="IM13" s="5" t="s">
        <v>6</v>
      </c>
      <c r="IN13" s="6">
        <f>SUM(IN11:IN12)</f>
        <v>10256</v>
      </c>
      <c r="IO13" s="5" t="s">
        <v>6</v>
      </c>
      <c r="IP13" s="6">
        <f>SUM(IP11:IP12)</f>
        <v>10256</v>
      </c>
      <c r="IQ13" s="5" t="s">
        <v>6</v>
      </c>
      <c r="IR13" s="6">
        <f>SUM(IR11:IR12)</f>
        <v>10256</v>
      </c>
      <c r="IS13" s="5" t="s">
        <v>6</v>
      </c>
      <c r="IT13" s="6">
        <f>SUM(IT11:IT12)</f>
        <v>10256</v>
      </c>
      <c r="IU13" s="5" t="s">
        <v>6</v>
      </c>
      <c r="IV13" s="6">
        <f>SUM(IV11:IV12)</f>
        <v>10256</v>
      </c>
    </row>
    <row r="14" spans="1:256" ht="17.600000000000001" x14ac:dyDescent="0.4">
      <c r="A14" s="22" t="s">
        <v>7</v>
      </c>
      <c r="B14" s="22">
        <v>2175</v>
      </c>
      <c r="C14" s="25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7"/>
      <c r="AG14" s="3"/>
      <c r="AH14" s="4"/>
      <c r="AI14" s="3"/>
      <c r="AJ14" s="4"/>
      <c r="AK14" s="3"/>
      <c r="AL14" s="4">
        <v>1327</v>
      </c>
      <c r="AM14" s="3" t="s">
        <v>24</v>
      </c>
      <c r="AN14" s="4">
        <v>1327</v>
      </c>
      <c r="AO14" s="3" t="s">
        <v>24</v>
      </c>
      <c r="AP14" s="4">
        <v>1327</v>
      </c>
      <c r="AQ14" s="3" t="s">
        <v>24</v>
      </c>
      <c r="AR14" s="4">
        <v>1327</v>
      </c>
      <c r="AS14" s="3" t="s">
        <v>24</v>
      </c>
      <c r="AT14" s="4">
        <v>1327</v>
      </c>
      <c r="AU14" s="3" t="s">
        <v>24</v>
      </c>
      <c r="AV14" s="4">
        <v>1327</v>
      </c>
      <c r="AW14" s="3" t="s">
        <v>24</v>
      </c>
      <c r="AX14" s="4">
        <v>1327</v>
      </c>
      <c r="AY14" s="3" t="s">
        <v>24</v>
      </c>
      <c r="AZ14" s="4">
        <v>1327</v>
      </c>
      <c r="BA14" s="3" t="s">
        <v>24</v>
      </c>
      <c r="BB14" s="4">
        <v>1327</v>
      </c>
      <c r="BC14" s="3" t="s">
        <v>24</v>
      </c>
      <c r="BD14" s="4">
        <v>1327</v>
      </c>
      <c r="BE14" s="3" t="s">
        <v>24</v>
      </c>
      <c r="BF14" s="4">
        <v>1327</v>
      </c>
      <c r="BG14" s="3" t="s">
        <v>24</v>
      </c>
      <c r="BH14" s="4">
        <v>1327</v>
      </c>
      <c r="BI14" s="3" t="s">
        <v>24</v>
      </c>
      <c r="BJ14" s="4">
        <v>1327</v>
      </c>
      <c r="BK14" s="3" t="s">
        <v>24</v>
      </c>
      <c r="BL14" s="4">
        <v>1327</v>
      </c>
      <c r="BM14" s="3" t="s">
        <v>24</v>
      </c>
      <c r="BN14" s="4">
        <v>1327</v>
      </c>
      <c r="BO14" s="3" t="s">
        <v>24</v>
      </c>
      <c r="BP14" s="4">
        <v>1327</v>
      </c>
      <c r="BQ14" s="3" t="s">
        <v>24</v>
      </c>
      <c r="BR14" s="4">
        <v>1327</v>
      </c>
      <c r="BS14" s="3" t="s">
        <v>24</v>
      </c>
      <c r="BT14" s="4">
        <v>1327</v>
      </c>
      <c r="BU14" s="3" t="s">
        <v>24</v>
      </c>
      <c r="BV14" s="4">
        <v>1327</v>
      </c>
      <c r="BW14" s="3" t="s">
        <v>24</v>
      </c>
      <c r="BX14" s="4">
        <v>1327</v>
      </c>
      <c r="BY14" s="3" t="s">
        <v>24</v>
      </c>
      <c r="BZ14" s="4">
        <v>1327</v>
      </c>
      <c r="CA14" s="3" t="s">
        <v>24</v>
      </c>
      <c r="CB14" s="4">
        <v>1327</v>
      </c>
      <c r="CC14" s="3" t="s">
        <v>24</v>
      </c>
      <c r="CD14" s="4">
        <v>1327</v>
      </c>
      <c r="CE14" s="3" t="s">
        <v>24</v>
      </c>
      <c r="CF14" s="4">
        <v>1327</v>
      </c>
      <c r="CG14" s="3" t="s">
        <v>24</v>
      </c>
      <c r="CH14" s="4">
        <v>1327</v>
      </c>
      <c r="CI14" s="3" t="s">
        <v>24</v>
      </c>
      <c r="CJ14" s="4">
        <v>1327</v>
      </c>
      <c r="CK14" s="3" t="s">
        <v>24</v>
      </c>
      <c r="CL14" s="4">
        <v>1327</v>
      </c>
      <c r="CM14" s="3" t="s">
        <v>24</v>
      </c>
      <c r="CN14" s="4">
        <v>1327</v>
      </c>
      <c r="CO14" s="3" t="s">
        <v>24</v>
      </c>
      <c r="CP14" s="4">
        <v>1327</v>
      </c>
      <c r="CQ14" s="3" t="s">
        <v>24</v>
      </c>
      <c r="CR14" s="4">
        <v>1327</v>
      </c>
      <c r="CS14" s="3" t="s">
        <v>24</v>
      </c>
      <c r="CT14" s="4">
        <v>1327</v>
      </c>
      <c r="CU14" s="3" t="s">
        <v>24</v>
      </c>
      <c r="CV14" s="4">
        <v>1327</v>
      </c>
      <c r="CW14" s="3" t="s">
        <v>24</v>
      </c>
      <c r="CX14" s="4">
        <v>1327</v>
      </c>
      <c r="CY14" s="3" t="s">
        <v>24</v>
      </c>
      <c r="CZ14" s="4">
        <v>1327</v>
      </c>
      <c r="DA14" s="3" t="s">
        <v>24</v>
      </c>
      <c r="DB14" s="4">
        <v>1327</v>
      </c>
      <c r="DC14" s="3" t="s">
        <v>24</v>
      </c>
      <c r="DD14" s="4">
        <v>1327</v>
      </c>
      <c r="DE14" s="3" t="s">
        <v>24</v>
      </c>
      <c r="DF14" s="4">
        <v>1327</v>
      </c>
      <c r="DG14" s="3" t="s">
        <v>24</v>
      </c>
      <c r="DH14" s="4">
        <v>1327</v>
      </c>
      <c r="DI14" s="3" t="s">
        <v>24</v>
      </c>
      <c r="DJ14" s="4">
        <v>1327</v>
      </c>
      <c r="DK14" s="3" t="s">
        <v>24</v>
      </c>
      <c r="DL14" s="4">
        <v>1327</v>
      </c>
      <c r="DM14" s="3" t="s">
        <v>24</v>
      </c>
      <c r="DN14" s="4">
        <v>1327</v>
      </c>
      <c r="DO14" s="3" t="s">
        <v>24</v>
      </c>
      <c r="DP14" s="4">
        <v>1327</v>
      </c>
      <c r="DQ14" s="3" t="s">
        <v>24</v>
      </c>
      <c r="DR14" s="4">
        <v>1327</v>
      </c>
      <c r="DS14" s="3" t="s">
        <v>24</v>
      </c>
      <c r="DT14" s="4">
        <v>1327</v>
      </c>
      <c r="DU14" s="3" t="s">
        <v>24</v>
      </c>
      <c r="DV14" s="4">
        <v>1327</v>
      </c>
      <c r="DW14" s="3" t="s">
        <v>24</v>
      </c>
      <c r="DX14" s="4">
        <v>1327</v>
      </c>
      <c r="DY14" s="3" t="s">
        <v>24</v>
      </c>
      <c r="DZ14" s="4">
        <v>1327</v>
      </c>
      <c r="EA14" s="3" t="s">
        <v>24</v>
      </c>
      <c r="EB14" s="4">
        <v>1327</v>
      </c>
      <c r="EC14" s="3" t="s">
        <v>24</v>
      </c>
      <c r="ED14" s="4">
        <v>1327</v>
      </c>
      <c r="EE14" s="3" t="s">
        <v>24</v>
      </c>
      <c r="EF14" s="4">
        <v>1327</v>
      </c>
      <c r="EG14" s="3" t="s">
        <v>24</v>
      </c>
      <c r="EH14" s="4">
        <v>1327</v>
      </c>
      <c r="EI14" s="3" t="s">
        <v>24</v>
      </c>
      <c r="EJ14" s="4">
        <v>1327</v>
      </c>
      <c r="EK14" s="3" t="s">
        <v>24</v>
      </c>
      <c r="EL14" s="4">
        <v>1327</v>
      </c>
      <c r="EM14" s="3" t="s">
        <v>24</v>
      </c>
      <c r="EN14" s="4">
        <v>1327</v>
      </c>
      <c r="EO14" s="3" t="s">
        <v>24</v>
      </c>
      <c r="EP14" s="4">
        <v>1327</v>
      </c>
      <c r="EQ14" s="3" t="s">
        <v>24</v>
      </c>
      <c r="ER14" s="4">
        <v>1327</v>
      </c>
      <c r="ES14" s="3" t="s">
        <v>24</v>
      </c>
      <c r="ET14" s="4">
        <v>1327</v>
      </c>
      <c r="EU14" s="3" t="s">
        <v>24</v>
      </c>
      <c r="EV14" s="4">
        <v>1327</v>
      </c>
      <c r="EW14" s="3" t="s">
        <v>24</v>
      </c>
      <c r="EX14" s="4">
        <v>1327</v>
      </c>
      <c r="EY14" s="3" t="s">
        <v>24</v>
      </c>
      <c r="EZ14" s="4">
        <v>1327</v>
      </c>
      <c r="FA14" s="3" t="s">
        <v>24</v>
      </c>
      <c r="FB14" s="4">
        <v>1327</v>
      </c>
      <c r="FC14" s="3" t="s">
        <v>24</v>
      </c>
      <c r="FD14" s="4">
        <v>1327</v>
      </c>
      <c r="FE14" s="3" t="s">
        <v>24</v>
      </c>
      <c r="FF14" s="4">
        <v>1327</v>
      </c>
      <c r="FG14" s="3" t="s">
        <v>24</v>
      </c>
      <c r="FH14" s="4">
        <v>1327</v>
      </c>
      <c r="FI14" s="3" t="s">
        <v>24</v>
      </c>
      <c r="FJ14" s="4">
        <v>1327</v>
      </c>
      <c r="FK14" s="3" t="s">
        <v>24</v>
      </c>
      <c r="FL14" s="4">
        <v>1327</v>
      </c>
      <c r="FM14" s="3" t="s">
        <v>24</v>
      </c>
      <c r="FN14" s="4">
        <v>1327</v>
      </c>
      <c r="FO14" s="3" t="s">
        <v>24</v>
      </c>
      <c r="FP14" s="4">
        <v>1327</v>
      </c>
      <c r="FQ14" s="3" t="s">
        <v>24</v>
      </c>
      <c r="FR14" s="4">
        <v>1327</v>
      </c>
      <c r="FS14" s="3" t="s">
        <v>24</v>
      </c>
      <c r="FT14" s="4">
        <v>1327</v>
      </c>
      <c r="FU14" s="3" t="s">
        <v>24</v>
      </c>
      <c r="FV14" s="4">
        <v>1327</v>
      </c>
      <c r="FW14" s="3" t="s">
        <v>24</v>
      </c>
      <c r="FX14" s="4">
        <v>1327</v>
      </c>
      <c r="FY14" s="3" t="s">
        <v>24</v>
      </c>
      <c r="FZ14" s="4">
        <v>1327</v>
      </c>
      <c r="GA14" s="3" t="s">
        <v>24</v>
      </c>
      <c r="GB14" s="4">
        <v>1327</v>
      </c>
      <c r="GC14" s="3" t="s">
        <v>24</v>
      </c>
      <c r="GD14" s="4">
        <v>1327</v>
      </c>
      <c r="GE14" s="3" t="s">
        <v>24</v>
      </c>
      <c r="GF14" s="4">
        <v>1327</v>
      </c>
      <c r="GG14" s="3" t="s">
        <v>24</v>
      </c>
      <c r="GH14" s="4">
        <v>1327</v>
      </c>
      <c r="GI14" s="3" t="s">
        <v>24</v>
      </c>
      <c r="GJ14" s="4">
        <v>1327</v>
      </c>
      <c r="GK14" s="3" t="s">
        <v>24</v>
      </c>
      <c r="GL14" s="4">
        <v>1327</v>
      </c>
      <c r="GM14" s="3" t="s">
        <v>24</v>
      </c>
      <c r="GN14" s="4">
        <v>1327</v>
      </c>
      <c r="GO14" s="3" t="s">
        <v>24</v>
      </c>
      <c r="GP14" s="4">
        <v>1327</v>
      </c>
      <c r="GQ14" s="3" t="s">
        <v>24</v>
      </c>
      <c r="GR14" s="4">
        <v>1327</v>
      </c>
      <c r="GS14" s="3" t="s">
        <v>24</v>
      </c>
      <c r="GT14" s="4">
        <v>1327</v>
      </c>
      <c r="GU14" s="3" t="s">
        <v>24</v>
      </c>
      <c r="GV14" s="4">
        <v>1327</v>
      </c>
      <c r="GW14" s="3" t="s">
        <v>24</v>
      </c>
      <c r="GX14" s="4">
        <v>1327</v>
      </c>
      <c r="GY14" s="3" t="s">
        <v>24</v>
      </c>
      <c r="GZ14" s="4">
        <v>1327</v>
      </c>
      <c r="HA14" s="3" t="s">
        <v>24</v>
      </c>
      <c r="HB14" s="4">
        <v>1327</v>
      </c>
      <c r="HC14" s="3" t="s">
        <v>24</v>
      </c>
      <c r="HD14" s="4">
        <v>1327</v>
      </c>
      <c r="HE14" s="3" t="s">
        <v>24</v>
      </c>
      <c r="HF14" s="4">
        <v>1327</v>
      </c>
      <c r="HG14" s="3" t="s">
        <v>24</v>
      </c>
      <c r="HH14" s="4">
        <v>1327</v>
      </c>
      <c r="HI14" s="3" t="s">
        <v>24</v>
      </c>
      <c r="HJ14" s="4">
        <v>1327</v>
      </c>
      <c r="HK14" s="3" t="s">
        <v>24</v>
      </c>
      <c r="HL14" s="4">
        <v>1327</v>
      </c>
      <c r="HM14" s="3" t="s">
        <v>24</v>
      </c>
      <c r="HN14" s="4">
        <v>1327</v>
      </c>
      <c r="HO14" s="3" t="s">
        <v>24</v>
      </c>
      <c r="HP14" s="4">
        <v>1327</v>
      </c>
      <c r="HQ14" s="3" t="s">
        <v>24</v>
      </c>
      <c r="HR14" s="4">
        <v>1327</v>
      </c>
      <c r="HS14" s="3" t="s">
        <v>24</v>
      </c>
      <c r="HT14" s="4">
        <v>1327</v>
      </c>
      <c r="HU14" s="3" t="s">
        <v>24</v>
      </c>
      <c r="HV14" s="4">
        <v>1327</v>
      </c>
      <c r="HW14" s="3" t="s">
        <v>24</v>
      </c>
      <c r="HX14" s="4">
        <v>1327</v>
      </c>
      <c r="HY14" s="3" t="s">
        <v>24</v>
      </c>
      <c r="HZ14" s="4">
        <v>1327</v>
      </c>
      <c r="IA14" s="3" t="s">
        <v>24</v>
      </c>
      <c r="IB14" s="4">
        <v>1327</v>
      </c>
      <c r="IC14" s="3" t="s">
        <v>24</v>
      </c>
      <c r="ID14" s="4">
        <v>1327</v>
      </c>
      <c r="IE14" s="3" t="s">
        <v>24</v>
      </c>
      <c r="IF14" s="4">
        <v>1327</v>
      </c>
      <c r="IG14" s="3" t="s">
        <v>24</v>
      </c>
      <c r="IH14" s="4">
        <v>1327</v>
      </c>
      <c r="II14" s="3" t="s">
        <v>24</v>
      </c>
      <c r="IJ14" s="4">
        <v>1327</v>
      </c>
      <c r="IK14" s="3" t="s">
        <v>24</v>
      </c>
      <c r="IL14" s="4">
        <v>1327</v>
      </c>
      <c r="IM14" s="3" t="s">
        <v>24</v>
      </c>
      <c r="IN14" s="4">
        <v>1327</v>
      </c>
      <c r="IO14" s="3" t="s">
        <v>24</v>
      </c>
      <c r="IP14" s="4">
        <v>1327</v>
      </c>
      <c r="IQ14" s="3" t="s">
        <v>24</v>
      </c>
      <c r="IR14" s="4">
        <v>1327</v>
      </c>
      <c r="IS14" s="3" t="s">
        <v>24</v>
      </c>
      <c r="IT14" s="4">
        <v>1327</v>
      </c>
      <c r="IU14" s="3" t="s">
        <v>24</v>
      </c>
      <c r="IV14" s="4">
        <v>1327</v>
      </c>
    </row>
    <row r="15" spans="1:256" ht="17.600000000000001" x14ac:dyDescent="0.4">
      <c r="A15" s="22" t="s">
        <v>33</v>
      </c>
      <c r="B15" s="22">
        <v>1716</v>
      </c>
      <c r="C15" s="25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7"/>
      <c r="AG15" s="3"/>
      <c r="AH15" s="4"/>
      <c r="AI15" s="3"/>
      <c r="AJ15" s="4"/>
      <c r="AK15" s="3"/>
      <c r="AL15" s="4">
        <v>1987.6</v>
      </c>
      <c r="AM15" s="3" t="s">
        <v>7</v>
      </c>
      <c r="AN15" s="4">
        <v>1987.6</v>
      </c>
      <c r="AO15" s="3" t="s">
        <v>7</v>
      </c>
      <c r="AP15" s="4">
        <v>1987.6</v>
      </c>
      <c r="AQ15" s="3" t="s">
        <v>7</v>
      </c>
      <c r="AR15" s="4">
        <v>1987.6</v>
      </c>
      <c r="AS15" s="3" t="s">
        <v>7</v>
      </c>
      <c r="AT15" s="4">
        <v>1987.6</v>
      </c>
      <c r="AU15" s="3" t="s">
        <v>7</v>
      </c>
      <c r="AV15" s="4">
        <v>1987.6</v>
      </c>
      <c r="AW15" s="3" t="s">
        <v>7</v>
      </c>
      <c r="AX15" s="4">
        <v>1987.6</v>
      </c>
      <c r="AY15" s="3" t="s">
        <v>7</v>
      </c>
      <c r="AZ15" s="4">
        <v>1987.6</v>
      </c>
      <c r="BA15" s="3" t="s">
        <v>7</v>
      </c>
      <c r="BB15" s="4">
        <v>1987.6</v>
      </c>
      <c r="BC15" s="3" t="s">
        <v>7</v>
      </c>
      <c r="BD15" s="4">
        <v>1987.6</v>
      </c>
      <c r="BE15" s="3" t="s">
        <v>7</v>
      </c>
      <c r="BF15" s="4">
        <v>1987.6</v>
      </c>
      <c r="BG15" s="3" t="s">
        <v>7</v>
      </c>
      <c r="BH15" s="4">
        <v>1987.6</v>
      </c>
      <c r="BI15" s="3" t="s">
        <v>7</v>
      </c>
      <c r="BJ15" s="4">
        <v>1987.6</v>
      </c>
      <c r="BK15" s="3" t="s">
        <v>7</v>
      </c>
      <c r="BL15" s="4">
        <v>1987.6</v>
      </c>
      <c r="BM15" s="3" t="s">
        <v>7</v>
      </c>
      <c r="BN15" s="4">
        <v>1987.6</v>
      </c>
      <c r="BO15" s="3" t="s">
        <v>7</v>
      </c>
      <c r="BP15" s="4">
        <v>1987.6</v>
      </c>
      <c r="BQ15" s="3" t="s">
        <v>7</v>
      </c>
      <c r="BR15" s="4">
        <v>1987.6</v>
      </c>
      <c r="BS15" s="3" t="s">
        <v>7</v>
      </c>
      <c r="BT15" s="4">
        <v>1987.6</v>
      </c>
      <c r="BU15" s="3" t="s">
        <v>7</v>
      </c>
      <c r="BV15" s="4">
        <v>1987.6</v>
      </c>
      <c r="BW15" s="3" t="s">
        <v>7</v>
      </c>
      <c r="BX15" s="4">
        <v>1987.6</v>
      </c>
      <c r="BY15" s="3" t="s">
        <v>7</v>
      </c>
      <c r="BZ15" s="4">
        <v>1987.6</v>
      </c>
      <c r="CA15" s="3" t="s">
        <v>7</v>
      </c>
      <c r="CB15" s="4">
        <v>1987.6</v>
      </c>
      <c r="CC15" s="3" t="s">
        <v>7</v>
      </c>
      <c r="CD15" s="4">
        <v>1987.6</v>
      </c>
      <c r="CE15" s="3" t="s">
        <v>7</v>
      </c>
      <c r="CF15" s="4">
        <v>1987.6</v>
      </c>
      <c r="CG15" s="3" t="s">
        <v>7</v>
      </c>
      <c r="CH15" s="4">
        <v>1987.6</v>
      </c>
      <c r="CI15" s="3" t="s">
        <v>7</v>
      </c>
      <c r="CJ15" s="4">
        <v>1987.6</v>
      </c>
      <c r="CK15" s="3" t="s">
        <v>7</v>
      </c>
      <c r="CL15" s="4">
        <v>1987.6</v>
      </c>
      <c r="CM15" s="3" t="s">
        <v>7</v>
      </c>
      <c r="CN15" s="4">
        <v>1987.6</v>
      </c>
      <c r="CO15" s="3" t="s">
        <v>7</v>
      </c>
      <c r="CP15" s="4">
        <v>1987.6</v>
      </c>
      <c r="CQ15" s="3" t="s">
        <v>7</v>
      </c>
      <c r="CR15" s="4">
        <v>1987.6</v>
      </c>
      <c r="CS15" s="3" t="s">
        <v>7</v>
      </c>
      <c r="CT15" s="4">
        <v>1987.6</v>
      </c>
      <c r="CU15" s="3" t="s">
        <v>7</v>
      </c>
      <c r="CV15" s="4">
        <v>1987.6</v>
      </c>
      <c r="CW15" s="3" t="s">
        <v>7</v>
      </c>
      <c r="CX15" s="4">
        <v>1987.6</v>
      </c>
      <c r="CY15" s="3" t="s">
        <v>7</v>
      </c>
      <c r="CZ15" s="4">
        <v>1987.6</v>
      </c>
      <c r="DA15" s="3" t="s">
        <v>7</v>
      </c>
      <c r="DB15" s="4">
        <v>1987.6</v>
      </c>
      <c r="DC15" s="3" t="s">
        <v>7</v>
      </c>
      <c r="DD15" s="4">
        <v>1987.6</v>
      </c>
      <c r="DE15" s="3" t="s">
        <v>7</v>
      </c>
      <c r="DF15" s="4">
        <v>1987.6</v>
      </c>
      <c r="DG15" s="3" t="s">
        <v>7</v>
      </c>
      <c r="DH15" s="4">
        <v>1987.6</v>
      </c>
      <c r="DI15" s="3" t="s">
        <v>7</v>
      </c>
      <c r="DJ15" s="4">
        <v>1987.6</v>
      </c>
      <c r="DK15" s="3" t="s">
        <v>7</v>
      </c>
      <c r="DL15" s="4">
        <v>1987.6</v>
      </c>
      <c r="DM15" s="3" t="s">
        <v>7</v>
      </c>
      <c r="DN15" s="4">
        <v>1987.6</v>
      </c>
      <c r="DO15" s="3" t="s">
        <v>7</v>
      </c>
      <c r="DP15" s="4">
        <v>1987.6</v>
      </c>
      <c r="DQ15" s="3" t="s">
        <v>7</v>
      </c>
      <c r="DR15" s="4">
        <v>1987.6</v>
      </c>
      <c r="DS15" s="3" t="s">
        <v>7</v>
      </c>
      <c r="DT15" s="4">
        <v>1987.6</v>
      </c>
      <c r="DU15" s="3" t="s">
        <v>7</v>
      </c>
      <c r="DV15" s="4">
        <v>1987.6</v>
      </c>
      <c r="DW15" s="3" t="s">
        <v>7</v>
      </c>
      <c r="DX15" s="4">
        <v>1987.6</v>
      </c>
      <c r="DY15" s="3" t="s">
        <v>7</v>
      </c>
      <c r="DZ15" s="4">
        <v>1987.6</v>
      </c>
      <c r="EA15" s="3" t="s">
        <v>7</v>
      </c>
      <c r="EB15" s="4">
        <v>1987.6</v>
      </c>
      <c r="EC15" s="3" t="s">
        <v>7</v>
      </c>
      <c r="ED15" s="4">
        <v>1987.6</v>
      </c>
      <c r="EE15" s="3" t="s">
        <v>7</v>
      </c>
      <c r="EF15" s="4">
        <v>1987.6</v>
      </c>
      <c r="EG15" s="3" t="s">
        <v>7</v>
      </c>
      <c r="EH15" s="4">
        <v>1987.6</v>
      </c>
      <c r="EI15" s="3" t="s">
        <v>7</v>
      </c>
      <c r="EJ15" s="4">
        <v>1987.6</v>
      </c>
      <c r="EK15" s="3" t="s">
        <v>7</v>
      </c>
      <c r="EL15" s="4">
        <v>1987.6</v>
      </c>
      <c r="EM15" s="3" t="s">
        <v>7</v>
      </c>
      <c r="EN15" s="4">
        <v>1987.6</v>
      </c>
      <c r="EO15" s="3" t="s">
        <v>7</v>
      </c>
      <c r="EP15" s="4">
        <v>1987.6</v>
      </c>
      <c r="EQ15" s="3" t="s">
        <v>7</v>
      </c>
      <c r="ER15" s="4">
        <v>1987.6</v>
      </c>
      <c r="ES15" s="3" t="s">
        <v>7</v>
      </c>
      <c r="ET15" s="4">
        <v>1987.6</v>
      </c>
      <c r="EU15" s="3" t="s">
        <v>7</v>
      </c>
      <c r="EV15" s="4">
        <v>1987.6</v>
      </c>
      <c r="EW15" s="3" t="s">
        <v>7</v>
      </c>
      <c r="EX15" s="4">
        <v>1987.6</v>
      </c>
      <c r="EY15" s="3" t="s">
        <v>7</v>
      </c>
      <c r="EZ15" s="4">
        <v>1987.6</v>
      </c>
      <c r="FA15" s="3" t="s">
        <v>7</v>
      </c>
      <c r="FB15" s="4">
        <v>1987.6</v>
      </c>
      <c r="FC15" s="3" t="s">
        <v>7</v>
      </c>
      <c r="FD15" s="4">
        <v>1987.6</v>
      </c>
      <c r="FE15" s="3" t="s">
        <v>7</v>
      </c>
      <c r="FF15" s="4">
        <v>1987.6</v>
      </c>
      <c r="FG15" s="3" t="s">
        <v>7</v>
      </c>
      <c r="FH15" s="4">
        <v>1987.6</v>
      </c>
      <c r="FI15" s="3" t="s">
        <v>7</v>
      </c>
      <c r="FJ15" s="4">
        <v>1987.6</v>
      </c>
      <c r="FK15" s="3" t="s">
        <v>7</v>
      </c>
      <c r="FL15" s="4">
        <v>1987.6</v>
      </c>
      <c r="FM15" s="3" t="s">
        <v>7</v>
      </c>
      <c r="FN15" s="4">
        <v>1987.6</v>
      </c>
      <c r="FO15" s="3" t="s">
        <v>7</v>
      </c>
      <c r="FP15" s="4">
        <v>1987.6</v>
      </c>
      <c r="FQ15" s="3" t="s">
        <v>7</v>
      </c>
      <c r="FR15" s="4">
        <v>1987.6</v>
      </c>
      <c r="FS15" s="3" t="s">
        <v>7</v>
      </c>
      <c r="FT15" s="4">
        <v>1987.6</v>
      </c>
      <c r="FU15" s="3" t="s">
        <v>7</v>
      </c>
      <c r="FV15" s="4">
        <v>1987.6</v>
      </c>
      <c r="FW15" s="3" t="s">
        <v>7</v>
      </c>
      <c r="FX15" s="4">
        <v>1987.6</v>
      </c>
      <c r="FY15" s="3" t="s">
        <v>7</v>
      </c>
      <c r="FZ15" s="4">
        <v>1987.6</v>
      </c>
      <c r="GA15" s="3" t="s">
        <v>7</v>
      </c>
      <c r="GB15" s="4">
        <v>1987.6</v>
      </c>
      <c r="GC15" s="3" t="s">
        <v>7</v>
      </c>
      <c r="GD15" s="4">
        <v>1987.6</v>
      </c>
      <c r="GE15" s="3" t="s">
        <v>7</v>
      </c>
      <c r="GF15" s="4">
        <v>1987.6</v>
      </c>
      <c r="GG15" s="3" t="s">
        <v>7</v>
      </c>
      <c r="GH15" s="4">
        <v>1987.6</v>
      </c>
      <c r="GI15" s="3" t="s">
        <v>7</v>
      </c>
      <c r="GJ15" s="4">
        <v>1987.6</v>
      </c>
      <c r="GK15" s="3" t="s">
        <v>7</v>
      </c>
      <c r="GL15" s="4">
        <v>1987.6</v>
      </c>
      <c r="GM15" s="3" t="s">
        <v>7</v>
      </c>
      <c r="GN15" s="4">
        <v>1987.6</v>
      </c>
      <c r="GO15" s="3" t="s">
        <v>7</v>
      </c>
      <c r="GP15" s="4">
        <v>1987.6</v>
      </c>
      <c r="GQ15" s="3" t="s">
        <v>7</v>
      </c>
      <c r="GR15" s="4">
        <v>1987.6</v>
      </c>
      <c r="GS15" s="3" t="s">
        <v>7</v>
      </c>
      <c r="GT15" s="4">
        <v>1987.6</v>
      </c>
      <c r="GU15" s="3" t="s">
        <v>7</v>
      </c>
      <c r="GV15" s="4">
        <v>1987.6</v>
      </c>
      <c r="GW15" s="3" t="s">
        <v>7</v>
      </c>
      <c r="GX15" s="4">
        <v>1987.6</v>
      </c>
      <c r="GY15" s="3" t="s">
        <v>7</v>
      </c>
      <c r="GZ15" s="4">
        <v>1987.6</v>
      </c>
      <c r="HA15" s="3" t="s">
        <v>7</v>
      </c>
      <c r="HB15" s="4">
        <v>1987.6</v>
      </c>
      <c r="HC15" s="3" t="s">
        <v>7</v>
      </c>
      <c r="HD15" s="4">
        <v>1987.6</v>
      </c>
      <c r="HE15" s="3" t="s">
        <v>7</v>
      </c>
      <c r="HF15" s="4">
        <v>1987.6</v>
      </c>
      <c r="HG15" s="3" t="s">
        <v>7</v>
      </c>
      <c r="HH15" s="4">
        <v>1987.6</v>
      </c>
      <c r="HI15" s="3" t="s">
        <v>7</v>
      </c>
      <c r="HJ15" s="4">
        <v>1987.6</v>
      </c>
      <c r="HK15" s="3" t="s">
        <v>7</v>
      </c>
      <c r="HL15" s="4">
        <v>1987.6</v>
      </c>
      <c r="HM15" s="3" t="s">
        <v>7</v>
      </c>
      <c r="HN15" s="4">
        <v>1987.6</v>
      </c>
      <c r="HO15" s="3" t="s">
        <v>7</v>
      </c>
      <c r="HP15" s="4">
        <v>1987.6</v>
      </c>
      <c r="HQ15" s="3" t="s">
        <v>7</v>
      </c>
      <c r="HR15" s="4">
        <v>1987.6</v>
      </c>
      <c r="HS15" s="3" t="s">
        <v>7</v>
      </c>
      <c r="HT15" s="4">
        <v>1987.6</v>
      </c>
      <c r="HU15" s="3" t="s">
        <v>7</v>
      </c>
      <c r="HV15" s="4">
        <v>1987.6</v>
      </c>
      <c r="HW15" s="3" t="s">
        <v>7</v>
      </c>
      <c r="HX15" s="4">
        <v>1987.6</v>
      </c>
      <c r="HY15" s="3" t="s">
        <v>7</v>
      </c>
      <c r="HZ15" s="4">
        <v>1987.6</v>
      </c>
      <c r="IA15" s="3" t="s">
        <v>7</v>
      </c>
      <c r="IB15" s="4">
        <v>1987.6</v>
      </c>
      <c r="IC15" s="3" t="s">
        <v>7</v>
      </c>
      <c r="ID15" s="4">
        <v>1987.6</v>
      </c>
      <c r="IE15" s="3" t="s">
        <v>7</v>
      </c>
      <c r="IF15" s="4">
        <v>1987.6</v>
      </c>
      <c r="IG15" s="3" t="s">
        <v>7</v>
      </c>
      <c r="IH15" s="4">
        <v>1987.6</v>
      </c>
      <c r="II15" s="3" t="s">
        <v>7</v>
      </c>
      <c r="IJ15" s="4">
        <v>1987.6</v>
      </c>
      <c r="IK15" s="3" t="s">
        <v>7</v>
      </c>
      <c r="IL15" s="4">
        <v>1987.6</v>
      </c>
      <c r="IM15" s="3" t="s">
        <v>7</v>
      </c>
      <c r="IN15" s="4">
        <v>1987.6</v>
      </c>
      <c r="IO15" s="3" t="s">
        <v>7</v>
      </c>
      <c r="IP15" s="4">
        <v>1987.6</v>
      </c>
      <c r="IQ15" s="3" t="s">
        <v>7</v>
      </c>
      <c r="IR15" s="4">
        <v>1987.6</v>
      </c>
      <c r="IS15" s="3" t="s">
        <v>7</v>
      </c>
      <c r="IT15" s="4">
        <v>1987.6</v>
      </c>
      <c r="IU15" s="3" t="s">
        <v>7</v>
      </c>
      <c r="IV15" s="4">
        <v>1987.6</v>
      </c>
    </row>
    <row r="16" spans="1:256" ht="17.600000000000001" x14ac:dyDescent="0.4">
      <c r="A16" s="22" t="s">
        <v>20</v>
      </c>
      <c r="B16" s="22">
        <v>833</v>
      </c>
      <c r="C16" s="25">
        <v>80</v>
      </c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7"/>
      <c r="AG16" s="3"/>
      <c r="AH16" s="4"/>
      <c r="AI16" s="3"/>
      <c r="AJ16" s="4"/>
      <c r="AK16" s="3"/>
      <c r="AL16" s="4">
        <v>1790</v>
      </c>
      <c r="AM16" s="3" t="s">
        <v>26</v>
      </c>
      <c r="AN16" s="4">
        <v>1790</v>
      </c>
      <c r="AO16" s="3" t="s">
        <v>26</v>
      </c>
      <c r="AP16" s="4">
        <v>1790</v>
      </c>
      <c r="AQ16" s="3" t="s">
        <v>26</v>
      </c>
      <c r="AR16" s="4">
        <v>1790</v>
      </c>
      <c r="AS16" s="3" t="s">
        <v>26</v>
      </c>
      <c r="AT16" s="4">
        <v>1790</v>
      </c>
      <c r="AU16" s="3" t="s">
        <v>26</v>
      </c>
      <c r="AV16" s="4">
        <v>1790</v>
      </c>
      <c r="AW16" s="3" t="s">
        <v>26</v>
      </c>
      <c r="AX16" s="4">
        <v>1790</v>
      </c>
      <c r="AY16" s="3" t="s">
        <v>26</v>
      </c>
      <c r="AZ16" s="4">
        <v>1790</v>
      </c>
      <c r="BA16" s="3" t="s">
        <v>26</v>
      </c>
      <c r="BB16" s="4">
        <v>1790</v>
      </c>
      <c r="BC16" s="3" t="s">
        <v>26</v>
      </c>
      <c r="BD16" s="4">
        <v>1790</v>
      </c>
      <c r="BE16" s="3" t="s">
        <v>26</v>
      </c>
      <c r="BF16" s="4">
        <v>1790</v>
      </c>
      <c r="BG16" s="3" t="s">
        <v>26</v>
      </c>
      <c r="BH16" s="4">
        <v>1790</v>
      </c>
      <c r="BI16" s="3" t="s">
        <v>26</v>
      </c>
      <c r="BJ16" s="4">
        <v>1790</v>
      </c>
      <c r="BK16" s="3" t="s">
        <v>26</v>
      </c>
      <c r="BL16" s="4">
        <v>1790</v>
      </c>
      <c r="BM16" s="3" t="s">
        <v>26</v>
      </c>
      <c r="BN16" s="4">
        <v>1790</v>
      </c>
      <c r="BO16" s="3" t="s">
        <v>26</v>
      </c>
      <c r="BP16" s="4">
        <v>1790</v>
      </c>
      <c r="BQ16" s="3" t="s">
        <v>26</v>
      </c>
      <c r="BR16" s="4">
        <v>1790</v>
      </c>
      <c r="BS16" s="3" t="s">
        <v>26</v>
      </c>
      <c r="BT16" s="4">
        <v>1790</v>
      </c>
      <c r="BU16" s="3" t="s">
        <v>26</v>
      </c>
      <c r="BV16" s="4">
        <v>1790</v>
      </c>
      <c r="BW16" s="3" t="s">
        <v>26</v>
      </c>
      <c r="BX16" s="4">
        <v>1790</v>
      </c>
      <c r="BY16" s="3" t="s">
        <v>26</v>
      </c>
      <c r="BZ16" s="4">
        <v>1790</v>
      </c>
      <c r="CA16" s="3" t="s">
        <v>26</v>
      </c>
      <c r="CB16" s="4">
        <v>1790</v>
      </c>
      <c r="CC16" s="3" t="s">
        <v>26</v>
      </c>
      <c r="CD16" s="4">
        <v>1790</v>
      </c>
      <c r="CE16" s="3" t="s">
        <v>26</v>
      </c>
      <c r="CF16" s="4">
        <v>1790</v>
      </c>
      <c r="CG16" s="3" t="s">
        <v>26</v>
      </c>
      <c r="CH16" s="4">
        <v>1790</v>
      </c>
      <c r="CI16" s="3" t="s">
        <v>26</v>
      </c>
      <c r="CJ16" s="4">
        <v>1790</v>
      </c>
      <c r="CK16" s="3" t="s">
        <v>26</v>
      </c>
      <c r="CL16" s="4">
        <v>1790</v>
      </c>
      <c r="CM16" s="3" t="s">
        <v>26</v>
      </c>
      <c r="CN16" s="4">
        <v>1790</v>
      </c>
      <c r="CO16" s="3" t="s">
        <v>26</v>
      </c>
      <c r="CP16" s="4">
        <v>1790</v>
      </c>
      <c r="CQ16" s="3" t="s">
        <v>26</v>
      </c>
      <c r="CR16" s="4">
        <v>1790</v>
      </c>
      <c r="CS16" s="3" t="s">
        <v>26</v>
      </c>
      <c r="CT16" s="4">
        <v>1790</v>
      </c>
      <c r="CU16" s="3" t="s">
        <v>26</v>
      </c>
      <c r="CV16" s="4">
        <v>1790</v>
      </c>
      <c r="CW16" s="3" t="s">
        <v>26</v>
      </c>
      <c r="CX16" s="4">
        <v>1790</v>
      </c>
      <c r="CY16" s="3" t="s">
        <v>26</v>
      </c>
      <c r="CZ16" s="4">
        <v>1790</v>
      </c>
      <c r="DA16" s="3" t="s">
        <v>26</v>
      </c>
      <c r="DB16" s="4">
        <v>1790</v>
      </c>
      <c r="DC16" s="3" t="s">
        <v>26</v>
      </c>
      <c r="DD16" s="4">
        <v>1790</v>
      </c>
      <c r="DE16" s="3" t="s">
        <v>26</v>
      </c>
      <c r="DF16" s="4">
        <v>1790</v>
      </c>
      <c r="DG16" s="3" t="s">
        <v>26</v>
      </c>
      <c r="DH16" s="4">
        <v>1790</v>
      </c>
      <c r="DI16" s="3" t="s">
        <v>26</v>
      </c>
      <c r="DJ16" s="4">
        <v>1790</v>
      </c>
      <c r="DK16" s="3" t="s">
        <v>26</v>
      </c>
      <c r="DL16" s="4">
        <v>1790</v>
      </c>
      <c r="DM16" s="3" t="s">
        <v>26</v>
      </c>
      <c r="DN16" s="4">
        <v>1790</v>
      </c>
      <c r="DO16" s="3" t="s">
        <v>26</v>
      </c>
      <c r="DP16" s="4">
        <v>1790</v>
      </c>
      <c r="DQ16" s="3" t="s">
        <v>26</v>
      </c>
      <c r="DR16" s="4">
        <v>1790</v>
      </c>
      <c r="DS16" s="3" t="s">
        <v>26</v>
      </c>
      <c r="DT16" s="4">
        <v>1790</v>
      </c>
      <c r="DU16" s="3" t="s">
        <v>26</v>
      </c>
      <c r="DV16" s="4">
        <v>1790</v>
      </c>
      <c r="DW16" s="3" t="s">
        <v>26</v>
      </c>
      <c r="DX16" s="4">
        <v>1790</v>
      </c>
      <c r="DY16" s="3" t="s">
        <v>26</v>
      </c>
      <c r="DZ16" s="4">
        <v>1790</v>
      </c>
      <c r="EA16" s="3" t="s">
        <v>26</v>
      </c>
      <c r="EB16" s="4">
        <v>1790</v>
      </c>
      <c r="EC16" s="3" t="s">
        <v>26</v>
      </c>
      <c r="ED16" s="4">
        <v>1790</v>
      </c>
      <c r="EE16" s="3" t="s">
        <v>26</v>
      </c>
      <c r="EF16" s="4">
        <v>1790</v>
      </c>
      <c r="EG16" s="3" t="s">
        <v>26</v>
      </c>
      <c r="EH16" s="4">
        <v>1790</v>
      </c>
      <c r="EI16" s="3" t="s">
        <v>26</v>
      </c>
      <c r="EJ16" s="4">
        <v>1790</v>
      </c>
      <c r="EK16" s="3" t="s">
        <v>26</v>
      </c>
      <c r="EL16" s="4">
        <v>1790</v>
      </c>
      <c r="EM16" s="3" t="s">
        <v>26</v>
      </c>
      <c r="EN16" s="4">
        <v>1790</v>
      </c>
      <c r="EO16" s="3" t="s">
        <v>26</v>
      </c>
      <c r="EP16" s="4">
        <v>1790</v>
      </c>
      <c r="EQ16" s="3" t="s">
        <v>26</v>
      </c>
      <c r="ER16" s="4">
        <v>1790</v>
      </c>
      <c r="ES16" s="3" t="s">
        <v>26</v>
      </c>
      <c r="ET16" s="4">
        <v>1790</v>
      </c>
      <c r="EU16" s="3" t="s">
        <v>26</v>
      </c>
      <c r="EV16" s="4">
        <v>1790</v>
      </c>
      <c r="EW16" s="3" t="s">
        <v>26</v>
      </c>
      <c r="EX16" s="4">
        <v>1790</v>
      </c>
      <c r="EY16" s="3" t="s">
        <v>26</v>
      </c>
      <c r="EZ16" s="4">
        <v>1790</v>
      </c>
      <c r="FA16" s="3" t="s">
        <v>26</v>
      </c>
      <c r="FB16" s="4">
        <v>1790</v>
      </c>
      <c r="FC16" s="3" t="s">
        <v>26</v>
      </c>
      <c r="FD16" s="4">
        <v>1790</v>
      </c>
      <c r="FE16" s="3" t="s">
        <v>26</v>
      </c>
      <c r="FF16" s="4">
        <v>1790</v>
      </c>
      <c r="FG16" s="3" t="s">
        <v>26</v>
      </c>
      <c r="FH16" s="4">
        <v>1790</v>
      </c>
      <c r="FI16" s="3" t="s">
        <v>26</v>
      </c>
      <c r="FJ16" s="4">
        <v>1790</v>
      </c>
      <c r="FK16" s="3" t="s">
        <v>26</v>
      </c>
      <c r="FL16" s="4">
        <v>1790</v>
      </c>
      <c r="FM16" s="3" t="s">
        <v>26</v>
      </c>
      <c r="FN16" s="4">
        <v>1790</v>
      </c>
      <c r="FO16" s="3" t="s">
        <v>26</v>
      </c>
      <c r="FP16" s="4">
        <v>1790</v>
      </c>
      <c r="FQ16" s="3" t="s">
        <v>26</v>
      </c>
      <c r="FR16" s="4">
        <v>1790</v>
      </c>
      <c r="FS16" s="3" t="s">
        <v>26</v>
      </c>
      <c r="FT16" s="4">
        <v>1790</v>
      </c>
      <c r="FU16" s="3" t="s">
        <v>26</v>
      </c>
      <c r="FV16" s="4">
        <v>1790</v>
      </c>
      <c r="FW16" s="3" t="s">
        <v>26</v>
      </c>
      <c r="FX16" s="4">
        <v>1790</v>
      </c>
      <c r="FY16" s="3" t="s">
        <v>26</v>
      </c>
      <c r="FZ16" s="4">
        <v>1790</v>
      </c>
      <c r="GA16" s="3" t="s">
        <v>26</v>
      </c>
      <c r="GB16" s="4">
        <v>1790</v>
      </c>
      <c r="GC16" s="3" t="s">
        <v>26</v>
      </c>
      <c r="GD16" s="4">
        <v>1790</v>
      </c>
      <c r="GE16" s="3" t="s">
        <v>26</v>
      </c>
      <c r="GF16" s="4">
        <v>1790</v>
      </c>
      <c r="GG16" s="3" t="s">
        <v>26</v>
      </c>
      <c r="GH16" s="4">
        <v>1790</v>
      </c>
      <c r="GI16" s="3" t="s">
        <v>26</v>
      </c>
      <c r="GJ16" s="4">
        <v>1790</v>
      </c>
      <c r="GK16" s="3" t="s">
        <v>26</v>
      </c>
      <c r="GL16" s="4">
        <v>1790</v>
      </c>
      <c r="GM16" s="3" t="s">
        <v>26</v>
      </c>
      <c r="GN16" s="4">
        <v>1790</v>
      </c>
      <c r="GO16" s="3" t="s">
        <v>26</v>
      </c>
      <c r="GP16" s="4">
        <v>1790</v>
      </c>
      <c r="GQ16" s="3" t="s">
        <v>26</v>
      </c>
      <c r="GR16" s="4">
        <v>1790</v>
      </c>
      <c r="GS16" s="3" t="s">
        <v>26</v>
      </c>
      <c r="GT16" s="4">
        <v>1790</v>
      </c>
      <c r="GU16" s="3" t="s">
        <v>26</v>
      </c>
      <c r="GV16" s="4">
        <v>1790</v>
      </c>
      <c r="GW16" s="3" t="s">
        <v>26</v>
      </c>
      <c r="GX16" s="4">
        <v>1790</v>
      </c>
      <c r="GY16" s="3" t="s">
        <v>26</v>
      </c>
      <c r="GZ16" s="4">
        <v>1790</v>
      </c>
      <c r="HA16" s="3" t="s">
        <v>26</v>
      </c>
      <c r="HB16" s="4">
        <v>1790</v>
      </c>
      <c r="HC16" s="3" t="s">
        <v>26</v>
      </c>
      <c r="HD16" s="4">
        <v>1790</v>
      </c>
      <c r="HE16" s="3" t="s">
        <v>26</v>
      </c>
      <c r="HF16" s="4">
        <v>1790</v>
      </c>
      <c r="HG16" s="3" t="s">
        <v>26</v>
      </c>
      <c r="HH16" s="4">
        <v>1790</v>
      </c>
      <c r="HI16" s="3" t="s">
        <v>26</v>
      </c>
      <c r="HJ16" s="4">
        <v>1790</v>
      </c>
      <c r="HK16" s="3" t="s">
        <v>26</v>
      </c>
      <c r="HL16" s="4">
        <v>1790</v>
      </c>
      <c r="HM16" s="3" t="s">
        <v>26</v>
      </c>
      <c r="HN16" s="4">
        <v>1790</v>
      </c>
      <c r="HO16" s="3" t="s">
        <v>26</v>
      </c>
      <c r="HP16" s="4">
        <v>1790</v>
      </c>
      <c r="HQ16" s="3" t="s">
        <v>26</v>
      </c>
      <c r="HR16" s="4">
        <v>1790</v>
      </c>
      <c r="HS16" s="3" t="s">
        <v>26</v>
      </c>
      <c r="HT16" s="4">
        <v>1790</v>
      </c>
      <c r="HU16" s="3" t="s">
        <v>26</v>
      </c>
      <c r="HV16" s="4">
        <v>1790</v>
      </c>
      <c r="HW16" s="3" t="s">
        <v>26</v>
      </c>
      <c r="HX16" s="4">
        <v>1790</v>
      </c>
      <c r="HY16" s="3" t="s">
        <v>26</v>
      </c>
      <c r="HZ16" s="4">
        <v>1790</v>
      </c>
      <c r="IA16" s="3" t="s">
        <v>26</v>
      </c>
      <c r="IB16" s="4">
        <v>1790</v>
      </c>
      <c r="IC16" s="3" t="s">
        <v>26</v>
      </c>
      <c r="ID16" s="4">
        <v>1790</v>
      </c>
      <c r="IE16" s="3" t="s">
        <v>26</v>
      </c>
      <c r="IF16" s="4">
        <v>1790</v>
      </c>
      <c r="IG16" s="3" t="s">
        <v>26</v>
      </c>
      <c r="IH16" s="4">
        <v>1790</v>
      </c>
      <c r="II16" s="3" t="s">
        <v>26</v>
      </c>
      <c r="IJ16" s="4">
        <v>1790</v>
      </c>
      <c r="IK16" s="3" t="s">
        <v>26</v>
      </c>
      <c r="IL16" s="4">
        <v>1790</v>
      </c>
      <c r="IM16" s="3" t="s">
        <v>26</v>
      </c>
      <c r="IN16" s="4">
        <v>1790</v>
      </c>
      <c r="IO16" s="3" t="s">
        <v>26</v>
      </c>
      <c r="IP16" s="4">
        <v>1790</v>
      </c>
      <c r="IQ16" s="3" t="s">
        <v>26</v>
      </c>
      <c r="IR16" s="4">
        <v>1790</v>
      </c>
      <c r="IS16" s="3" t="s">
        <v>26</v>
      </c>
      <c r="IT16" s="4">
        <v>1790</v>
      </c>
      <c r="IU16" s="3" t="s">
        <v>26</v>
      </c>
      <c r="IV16" s="4">
        <v>1790</v>
      </c>
    </row>
    <row r="17" spans="1:256" ht="17.600000000000001" x14ac:dyDescent="0.4">
      <c r="A17" s="22" t="s">
        <v>32</v>
      </c>
      <c r="B17" s="22">
        <v>1250</v>
      </c>
      <c r="C17" s="14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7"/>
      <c r="AG17" s="3"/>
      <c r="AH17" s="4"/>
      <c r="AI17" s="3"/>
      <c r="AJ17" s="4"/>
      <c r="AK17" s="3"/>
      <c r="AL17" s="4">
        <v>1755.4</v>
      </c>
      <c r="AM17" s="3" t="s">
        <v>20</v>
      </c>
      <c r="AN17" s="4">
        <v>1755.4</v>
      </c>
      <c r="AO17" s="3" t="s">
        <v>20</v>
      </c>
      <c r="AP17" s="4">
        <v>1755.4</v>
      </c>
      <c r="AQ17" s="3" t="s">
        <v>20</v>
      </c>
      <c r="AR17" s="4">
        <v>1755.4</v>
      </c>
      <c r="AS17" s="3" t="s">
        <v>20</v>
      </c>
      <c r="AT17" s="4">
        <v>1755.4</v>
      </c>
      <c r="AU17" s="3" t="s">
        <v>20</v>
      </c>
      <c r="AV17" s="4">
        <v>1755.4</v>
      </c>
      <c r="AW17" s="3" t="s">
        <v>20</v>
      </c>
      <c r="AX17" s="4">
        <v>1755.4</v>
      </c>
      <c r="AY17" s="3" t="s">
        <v>20</v>
      </c>
      <c r="AZ17" s="4">
        <v>1755.4</v>
      </c>
      <c r="BA17" s="3" t="s">
        <v>20</v>
      </c>
      <c r="BB17" s="4">
        <v>1755.4</v>
      </c>
      <c r="BC17" s="3" t="s">
        <v>20</v>
      </c>
      <c r="BD17" s="4">
        <v>1755.4</v>
      </c>
      <c r="BE17" s="3" t="s">
        <v>20</v>
      </c>
      <c r="BF17" s="4">
        <v>1755.4</v>
      </c>
      <c r="BG17" s="3" t="s">
        <v>20</v>
      </c>
      <c r="BH17" s="4">
        <v>1755.4</v>
      </c>
      <c r="BI17" s="3" t="s">
        <v>20</v>
      </c>
      <c r="BJ17" s="4">
        <v>1755.4</v>
      </c>
      <c r="BK17" s="3" t="s">
        <v>20</v>
      </c>
      <c r="BL17" s="4">
        <v>1755.4</v>
      </c>
      <c r="BM17" s="3" t="s">
        <v>20</v>
      </c>
      <c r="BN17" s="4">
        <v>1755.4</v>
      </c>
      <c r="BO17" s="3" t="s">
        <v>20</v>
      </c>
      <c r="BP17" s="4">
        <v>1755.4</v>
      </c>
      <c r="BQ17" s="3" t="s">
        <v>20</v>
      </c>
      <c r="BR17" s="4">
        <v>1755.4</v>
      </c>
      <c r="BS17" s="3" t="s">
        <v>20</v>
      </c>
      <c r="BT17" s="4">
        <v>1755.4</v>
      </c>
      <c r="BU17" s="3" t="s">
        <v>20</v>
      </c>
      <c r="BV17" s="4">
        <v>1755.4</v>
      </c>
      <c r="BW17" s="3" t="s">
        <v>20</v>
      </c>
      <c r="BX17" s="4">
        <v>1755.4</v>
      </c>
      <c r="BY17" s="3" t="s">
        <v>20</v>
      </c>
      <c r="BZ17" s="4">
        <v>1755.4</v>
      </c>
      <c r="CA17" s="3" t="s">
        <v>20</v>
      </c>
      <c r="CB17" s="4">
        <v>1755.4</v>
      </c>
      <c r="CC17" s="3" t="s">
        <v>20</v>
      </c>
      <c r="CD17" s="4">
        <v>1755.4</v>
      </c>
      <c r="CE17" s="3" t="s">
        <v>20</v>
      </c>
      <c r="CF17" s="4">
        <v>1755.4</v>
      </c>
      <c r="CG17" s="3" t="s">
        <v>20</v>
      </c>
      <c r="CH17" s="4">
        <v>1755.4</v>
      </c>
      <c r="CI17" s="3" t="s">
        <v>20</v>
      </c>
      <c r="CJ17" s="4">
        <v>1755.4</v>
      </c>
      <c r="CK17" s="3" t="s">
        <v>20</v>
      </c>
      <c r="CL17" s="4">
        <v>1755.4</v>
      </c>
      <c r="CM17" s="3" t="s">
        <v>20</v>
      </c>
      <c r="CN17" s="4">
        <v>1755.4</v>
      </c>
      <c r="CO17" s="3" t="s">
        <v>20</v>
      </c>
      <c r="CP17" s="4">
        <v>1755.4</v>
      </c>
      <c r="CQ17" s="3" t="s">
        <v>20</v>
      </c>
      <c r="CR17" s="4">
        <v>1755.4</v>
      </c>
      <c r="CS17" s="3" t="s">
        <v>20</v>
      </c>
      <c r="CT17" s="4">
        <v>1755.4</v>
      </c>
      <c r="CU17" s="3" t="s">
        <v>20</v>
      </c>
      <c r="CV17" s="4">
        <v>1755.4</v>
      </c>
      <c r="CW17" s="3" t="s">
        <v>20</v>
      </c>
      <c r="CX17" s="4">
        <v>1755.4</v>
      </c>
      <c r="CY17" s="3" t="s">
        <v>20</v>
      </c>
      <c r="CZ17" s="4">
        <v>1755.4</v>
      </c>
      <c r="DA17" s="3" t="s">
        <v>20</v>
      </c>
      <c r="DB17" s="4">
        <v>1755.4</v>
      </c>
      <c r="DC17" s="3" t="s">
        <v>20</v>
      </c>
      <c r="DD17" s="4">
        <v>1755.4</v>
      </c>
      <c r="DE17" s="3" t="s">
        <v>20</v>
      </c>
      <c r="DF17" s="4">
        <v>1755.4</v>
      </c>
      <c r="DG17" s="3" t="s">
        <v>20</v>
      </c>
      <c r="DH17" s="4">
        <v>1755.4</v>
      </c>
      <c r="DI17" s="3" t="s">
        <v>20</v>
      </c>
      <c r="DJ17" s="4">
        <v>1755.4</v>
      </c>
      <c r="DK17" s="3" t="s">
        <v>20</v>
      </c>
      <c r="DL17" s="4">
        <v>1755.4</v>
      </c>
      <c r="DM17" s="3" t="s">
        <v>20</v>
      </c>
      <c r="DN17" s="4">
        <v>1755.4</v>
      </c>
      <c r="DO17" s="3" t="s">
        <v>20</v>
      </c>
      <c r="DP17" s="4">
        <v>1755.4</v>
      </c>
      <c r="DQ17" s="3" t="s">
        <v>20</v>
      </c>
      <c r="DR17" s="4">
        <v>1755.4</v>
      </c>
      <c r="DS17" s="3" t="s">
        <v>20</v>
      </c>
      <c r="DT17" s="4">
        <v>1755.4</v>
      </c>
      <c r="DU17" s="3" t="s">
        <v>20</v>
      </c>
      <c r="DV17" s="4">
        <v>1755.4</v>
      </c>
      <c r="DW17" s="3" t="s">
        <v>20</v>
      </c>
      <c r="DX17" s="4">
        <v>1755.4</v>
      </c>
      <c r="DY17" s="3" t="s">
        <v>20</v>
      </c>
      <c r="DZ17" s="4">
        <v>1755.4</v>
      </c>
      <c r="EA17" s="3" t="s">
        <v>20</v>
      </c>
      <c r="EB17" s="4">
        <v>1755.4</v>
      </c>
      <c r="EC17" s="3" t="s">
        <v>20</v>
      </c>
      <c r="ED17" s="4">
        <v>1755.4</v>
      </c>
      <c r="EE17" s="3" t="s">
        <v>20</v>
      </c>
      <c r="EF17" s="4">
        <v>1755.4</v>
      </c>
      <c r="EG17" s="3" t="s">
        <v>20</v>
      </c>
      <c r="EH17" s="4">
        <v>1755.4</v>
      </c>
      <c r="EI17" s="3" t="s">
        <v>20</v>
      </c>
      <c r="EJ17" s="4">
        <v>1755.4</v>
      </c>
      <c r="EK17" s="3" t="s">
        <v>20</v>
      </c>
      <c r="EL17" s="4">
        <v>1755.4</v>
      </c>
      <c r="EM17" s="3" t="s">
        <v>20</v>
      </c>
      <c r="EN17" s="4">
        <v>1755.4</v>
      </c>
      <c r="EO17" s="3" t="s">
        <v>20</v>
      </c>
      <c r="EP17" s="4">
        <v>1755.4</v>
      </c>
      <c r="EQ17" s="3" t="s">
        <v>20</v>
      </c>
      <c r="ER17" s="4">
        <v>1755.4</v>
      </c>
      <c r="ES17" s="3" t="s">
        <v>20</v>
      </c>
      <c r="ET17" s="4">
        <v>1755.4</v>
      </c>
      <c r="EU17" s="3" t="s">
        <v>20</v>
      </c>
      <c r="EV17" s="4">
        <v>1755.4</v>
      </c>
      <c r="EW17" s="3" t="s">
        <v>20</v>
      </c>
      <c r="EX17" s="4">
        <v>1755.4</v>
      </c>
      <c r="EY17" s="3" t="s">
        <v>20</v>
      </c>
      <c r="EZ17" s="4">
        <v>1755.4</v>
      </c>
      <c r="FA17" s="3" t="s">
        <v>20</v>
      </c>
      <c r="FB17" s="4">
        <v>1755.4</v>
      </c>
      <c r="FC17" s="3" t="s">
        <v>20</v>
      </c>
      <c r="FD17" s="4">
        <v>1755.4</v>
      </c>
      <c r="FE17" s="3" t="s">
        <v>20</v>
      </c>
      <c r="FF17" s="4">
        <v>1755.4</v>
      </c>
      <c r="FG17" s="3" t="s">
        <v>20</v>
      </c>
      <c r="FH17" s="4">
        <v>1755.4</v>
      </c>
      <c r="FI17" s="3" t="s">
        <v>20</v>
      </c>
      <c r="FJ17" s="4">
        <v>1755.4</v>
      </c>
      <c r="FK17" s="3" t="s">
        <v>20</v>
      </c>
      <c r="FL17" s="4">
        <v>1755.4</v>
      </c>
      <c r="FM17" s="3" t="s">
        <v>20</v>
      </c>
      <c r="FN17" s="4">
        <v>1755.4</v>
      </c>
      <c r="FO17" s="3" t="s">
        <v>20</v>
      </c>
      <c r="FP17" s="4">
        <v>1755.4</v>
      </c>
      <c r="FQ17" s="3" t="s">
        <v>20</v>
      </c>
      <c r="FR17" s="4">
        <v>1755.4</v>
      </c>
      <c r="FS17" s="3" t="s">
        <v>20</v>
      </c>
      <c r="FT17" s="4">
        <v>1755.4</v>
      </c>
      <c r="FU17" s="3" t="s">
        <v>20</v>
      </c>
      <c r="FV17" s="4">
        <v>1755.4</v>
      </c>
      <c r="FW17" s="3" t="s">
        <v>20</v>
      </c>
      <c r="FX17" s="4">
        <v>1755.4</v>
      </c>
      <c r="FY17" s="3" t="s">
        <v>20</v>
      </c>
      <c r="FZ17" s="4">
        <v>1755.4</v>
      </c>
      <c r="GA17" s="3" t="s">
        <v>20</v>
      </c>
      <c r="GB17" s="4">
        <v>1755.4</v>
      </c>
      <c r="GC17" s="3" t="s">
        <v>20</v>
      </c>
      <c r="GD17" s="4">
        <v>1755.4</v>
      </c>
      <c r="GE17" s="3" t="s">
        <v>20</v>
      </c>
      <c r="GF17" s="4">
        <v>1755.4</v>
      </c>
      <c r="GG17" s="3" t="s">
        <v>20</v>
      </c>
      <c r="GH17" s="4">
        <v>1755.4</v>
      </c>
      <c r="GI17" s="3" t="s">
        <v>20</v>
      </c>
      <c r="GJ17" s="4">
        <v>1755.4</v>
      </c>
      <c r="GK17" s="3" t="s">
        <v>20</v>
      </c>
      <c r="GL17" s="4">
        <v>1755.4</v>
      </c>
      <c r="GM17" s="3" t="s">
        <v>20</v>
      </c>
      <c r="GN17" s="4">
        <v>1755.4</v>
      </c>
      <c r="GO17" s="3" t="s">
        <v>20</v>
      </c>
      <c r="GP17" s="4">
        <v>1755.4</v>
      </c>
      <c r="GQ17" s="3" t="s">
        <v>20</v>
      </c>
      <c r="GR17" s="4">
        <v>1755.4</v>
      </c>
      <c r="GS17" s="3" t="s">
        <v>20</v>
      </c>
      <c r="GT17" s="4">
        <v>1755.4</v>
      </c>
      <c r="GU17" s="3" t="s">
        <v>20</v>
      </c>
      <c r="GV17" s="4">
        <v>1755.4</v>
      </c>
      <c r="GW17" s="3" t="s">
        <v>20</v>
      </c>
      <c r="GX17" s="4">
        <v>1755.4</v>
      </c>
      <c r="GY17" s="3" t="s">
        <v>20</v>
      </c>
      <c r="GZ17" s="4">
        <v>1755.4</v>
      </c>
      <c r="HA17" s="3" t="s">
        <v>20</v>
      </c>
      <c r="HB17" s="4">
        <v>1755.4</v>
      </c>
      <c r="HC17" s="3" t="s">
        <v>20</v>
      </c>
      <c r="HD17" s="4">
        <v>1755.4</v>
      </c>
      <c r="HE17" s="3" t="s">
        <v>20</v>
      </c>
      <c r="HF17" s="4">
        <v>1755.4</v>
      </c>
      <c r="HG17" s="3" t="s">
        <v>20</v>
      </c>
      <c r="HH17" s="4">
        <v>1755.4</v>
      </c>
      <c r="HI17" s="3" t="s">
        <v>20</v>
      </c>
      <c r="HJ17" s="4">
        <v>1755.4</v>
      </c>
      <c r="HK17" s="3" t="s">
        <v>20</v>
      </c>
      <c r="HL17" s="4">
        <v>1755.4</v>
      </c>
      <c r="HM17" s="3" t="s">
        <v>20</v>
      </c>
      <c r="HN17" s="4">
        <v>1755.4</v>
      </c>
      <c r="HO17" s="3" t="s">
        <v>20</v>
      </c>
      <c r="HP17" s="4">
        <v>1755.4</v>
      </c>
      <c r="HQ17" s="3" t="s">
        <v>20</v>
      </c>
      <c r="HR17" s="4">
        <v>1755.4</v>
      </c>
      <c r="HS17" s="3" t="s">
        <v>20</v>
      </c>
      <c r="HT17" s="4">
        <v>1755.4</v>
      </c>
      <c r="HU17" s="3" t="s">
        <v>20</v>
      </c>
      <c r="HV17" s="4">
        <v>1755.4</v>
      </c>
      <c r="HW17" s="3" t="s">
        <v>20</v>
      </c>
      <c r="HX17" s="4">
        <v>1755.4</v>
      </c>
      <c r="HY17" s="3" t="s">
        <v>20</v>
      </c>
      <c r="HZ17" s="4">
        <v>1755.4</v>
      </c>
      <c r="IA17" s="3" t="s">
        <v>20</v>
      </c>
      <c r="IB17" s="4">
        <v>1755.4</v>
      </c>
      <c r="IC17" s="3" t="s">
        <v>20</v>
      </c>
      <c r="ID17" s="4">
        <v>1755.4</v>
      </c>
      <c r="IE17" s="3" t="s">
        <v>20</v>
      </c>
      <c r="IF17" s="4">
        <v>1755.4</v>
      </c>
      <c r="IG17" s="3" t="s">
        <v>20</v>
      </c>
      <c r="IH17" s="4">
        <v>1755.4</v>
      </c>
      <c r="II17" s="3" t="s">
        <v>20</v>
      </c>
      <c r="IJ17" s="4">
        <v>1755.4</v>
      </c>
      <c r="IK17" s="3" t="s">
        <v>20</v>
      </c>
      <c r="IL17" s="4">
        <v>1755.4</v>
      </c>
      <c r="IM17" s="3" t="s">
        <v>20</v>
      </c>
      <c r="IN17" s="4">
        <v>1755.4</v>
      </c>
      <c r="IO17" s="3" t="s">
        <v>20</v>
      </c>
      <c r="IP17" s="4">
        <v>1755.4</v>
      </c>
      <c r="IQ17" s="3" t="s">
        <v>20</v>
      </c>
      <c r="IR17" s="4">
        <v>1755.4</v>
      </c>
      <c r="IS17" s="3" t="s">
        <v>20</v>
      </c>
      <c r="IT17" s="4">
        <v>1755.4</v>
      </c>
      <c r="IU17" s="3" t="s">
        <v>20</v>
      </c>
      <c r="IV17" s="4">
        <v>1755.4</v>
      </c>
    </row>
    <row r="18" spans="1:256" ht="20.149999999999999" x14ac:dyDescent="0.5">
      <c r="A18" s="21" t="s">
        <v>6</v>
      </c>
      <c r="B18" s="21">
        <f>SUM(B13:B17)</f>
        <v>7423</v>
      </c>
      <c r="C18" s="14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7"/>
      <c r="AG18" s="3"/>
      <c r="AH18" s="4"/>
      <c r="AI18" s="3"/>
      <c r="AJ18" s="4"/>
      <c r="AK18" s="3"/>
      <c r="AL18" s="4">
        <v>1500</v>
      </c>
      <c r="AM18" s="3" t="s">
        <v>29</v>
      </c>
      <c r="AN18" s="4">
        <v>1500</v>
      </c>
      <c r="AO18" s="3" t="s">
        <v>29</v>
      </c>
      <c r="AP18" s="4">
        <v>1500</v>
      </c>
      <c r="AQ18" s="3" t="s">
        <v>29</v>
      </c>
      <c r="AR18" s="4">
        <v>1500</v>
      </c>
      <c r="AS18" s="3" t="s">
        <v>29</v>
      </c>
      <c r="AT18" s="4">
        <v>1500</v>
      </c>
      <c r="AU18" s="3" t="s">
        <v>29</v>
      </c>
      <c r="AV18" s="4">
        <v>1500</v>
      </c>
      <c r="AW18" s="3" t="s">
        <v>29</v>
      </c>
      <c r="AX18" s="4">
        <v>1500</v>
      </c>
      <c r="AY18" s="3" t="s">
        <v>29</v>
      </c>
      <c r="AZ18" s="4">
        <v>1500</v>
      </c>
      <c r="BA18" s="3" t="s">
        <v>29</v>
      </c>
      <c r="BB18" s="4">
        <v>1500</v>
      </c>
      <c r="BC18" s="3" t="s">
        <v>29</v>
      </c>
      <c r="BD18" s="4">
        <v>1500</v>
      </c>
      <c r="BE18" s="3" t="s">
        <v>29</v>
      </c>
      <c r="BF18" s="4">
        <v>1500</v>
      </c>
      <c r="BG18" s="3" t="s">
        <v>29</v>
      </c>
      <c r="BH18" s="4">
        <v>1500</v>
      </c>
      <c r="BI18" s="3" t="s">
        <v>29</v>
      </c>
      <c r="BJ18" s="4">
        <v>1500</v>
      </c>
      <c r="BK18" s="3" t="s">
        <v>29</v>
      </c>
      <c r="BL18" s="4">
        <v>1500</v>
      </c>
      <c r="BM18" s="3" t="s">
        <v>29</v>
      </c>
      <c r="BN18" s="4">
        <v>1500</v>
      </c>
      <c r="BO18" s="3" t="s">
        <v>29</v>
      </c>
      <c r="BP18" s="4">
        <v>1500</v>
      </c>
      <c r="BQ18" s="3" t="s">
        <v>29</v>
      </c>
      <c r="BR18" s="4">
        <v>1500</v>
      </c>
      <c r="BS18" s="3" t="s">
        <v>29</v>
      </c>
      <c r="BT18" s="4">
        <v>1500</v>
      </c>
      <c r="BU18" s="3" t="s">
        <v>29</v>
      </c>
      <c r="BV18" s="4">
        <v>1500</v>
      </c>
      <c r="BW18" s="3" t="s">
        <v>29</v>
      </c>
      <c r="BX18" s="4">
        <v>1500</v>
      </c>
      <c r="BY18" s="3" t="s">
        <v>29</v>
      </c>
      <c r="BZ18" s="4">
        <v>1500</v>
      </c>
      <c r="CA18" s="3" t="s">
        <v>29</v>
      </c>
      <c r="CB18" s="4">
        <v>1500</v>
      </c>
      <c r="CC18" s="3" t="s">
        <v>29</v>
      </c>
      <c r="CD18" s="4">
        <v>1500</v>
      </c>
      <c r="CE18" s="3" t="s">
        <v>29</v>
      </c>
      <c r="CF18" s="4">
        <v>1500</v>
      </c>
      <c r="CG18" s="3" t="s">
        <v>29</v>
      </c>
      <c r="CH18" s="4">
        <v>1500</v>
      </c>
      <c r="CI18" s="3" t="s">
        <v>29</v>
      </c>
      <c r="CJ18" s="4">
        <v>1500</v>
      </c>
      <c r="CK18" s="3" t="s">
        <v>29</v>
      </c>
      <c r="CL18" s="4">
        <v>1500</v>
      </c>
      <c r="CM18" s="3" t="s">
        <v>29</v>
      </c>
      <c r="CN18" s="4">
        <v>1500</v>
      </c>
      <c r="CO18" s="3" t="s">
        <v>29</v>
      </c>
      <c r="CP18" s="4">
        <v>1500</v>
      </c>
      <c r="CQ18" s="3" t="s">
        <v>29</v>
      </c>
      <c r="CR18" s="4">
        <v>1500</v>
      </c>
      <c r="CS18" s="3" t="s">
        <v>29</v>
      </c>
      <c r="CT18" s="4">
        <v>1500</v>
      </c>
      <c r="CU18" s="3" t="s">
        <v>29</v>
      </c>
      <c r="CV18" s="4">
        <v>1500</v>
      </c>
      <c r="CW18" s="3" t="s">
        <v>29</v>
      </c>
      <c r="CX18" s="4">
        <v>1500</v>
      </c>
      <c r="CY18" s="3" t="s">
        <v>29</v>
      </c>
      <c r="CZ18" s="4">
        <v>1500</v>
      </c>
      <c r="DA18" s="3" t="s">
        <v>29</v>
      </c>
      <c r="DB18" s="4">
        <v>1500</v>
      </c>
      <c r="DC18" s="3" t="s">
        <v>29</v>
      </c>
      <c r="DD18" s="4">
        <v>1500</v>
      </c>
      <c r="DE18" s="3" t="s">
        <v>29</v>
      </c>
      <c r="DF18" s="4">
        <v>1500</v>
      </c>
      <c r="DG18" s="3" t="s">
        <v>29</v>
      </c>
      <c r="DH18" s="4">
        <v>1500</v>
      </c>
      <c r="DI18" s="3" t="s">
        <v>29</v>
      </c>
      <c r="DJ18" s="4">
        <v>1500</v>
      </c>
      <c r="DK18" s="3" t="s">
        <v>29</v>
      </c>
      <c r="DL18" s="4">
        <v>1500</v>
      </c>
      <c r="DM18" s="3" t="s">
        <v>29</v>
      </c>
      <c r="DN18" s="4">
        <v>1500</v>
      </c>
      <c r="DO18" s="3" t="s">
        <v>29</v>
      </c>
      <c r="DP18" s="4">
        <v>1500</v>
      </c>
      <c r="DQ18" s="3" t="s">
        <v>29</v>
      </c>
      <c r="DR18" s="4">
        <v>1500</v>
      </c>
      <c r="DS18" s="3" t="s">
        <v>29</v>
      </c>
      <c r="DT18" s="4">
        <v>1500</v>
      </c>
      <c r="DU18" s="3" t="s">
        <v>29</v>
      </c>
      <c r="DV18" s="4">
        <v>1500</v>
      </c>
      <c r="DW18" s="3" t="s">
        <v>29</v>
      </c>
      <c r="DX18" s="4">
        <v>1500</v>
      </c>
      <c r="DY18" s="3" t="s">
        <v>29</v>
      </c>
      <c r="DZ18" s="4">
        <v>1500</v>
      </c>
      <c r="EA18" s="3" t="s">
        <v>29</v>
      </c>
      <c r="EB18" s="4">
        <v>1500</v>
      </c>
      <c r="EC18" s="3" t="s">
        <v>29</v>
      </c>
      <c r="ED18" s="4">
        <v>1500</v>
      </c>
      <c r="EE18" s="3" t="s">
        <v>29</v>
      </c>
      <c r="EF18" s="4">
        <v>1500</v>
      </c>
      <c r="EG18" s="3" t="s">
        <v>29</v>
      </c>
      <c r="EH18" s="4">
        <v>1500</v>
      </c>
      <c r="EI18" s="3" t="s">
        <v>29</v>
      </c>
      <c r="EJ18" s="4">
        <v>1500</v>
      </c>
      <c r="EK18" s="3" t="s">
        <v>29</v>
      </c>
      <c r="EL18" s="4">
        <v>1500</v>
      </c>
      <c r="EM18" s="3" t="s">
        <v>29</v>
      </c>
      <c r="EN18" s="4">
        <v>1500</v>
      </c>
      <c r="EO18" s="3" t="s">
        <v>29</v>
      </c>
      <c r="EP18" s="4">
        <v>1500</v>
      </c>
      <c r="EQ18" s="3" t="s">
        <v>29</v>
      </c>
      <c r="ER18" s="4">
        <v>1500</v>
      </c>
      <c r="ES18" s="3" t="s">
        <v>29</v>
      </c>
      <c r="ET18" s="4">
        <v>1500</v>
      </c>
      <c r="EU18" s="3" t="s">
        <v>29</v>
      </c>
      <c r="EV18" s="4">
        <v>1500</v>
      </c>
      <c r="EW18" s="3" t="s">
        <v>29</v>
      </c>
      <c r="EX18" s="4">
        <v>1500</v>
      </c>
      <c r="EY18" s="3" t="s">
        <v>29</v>
      </c>
      <c r="EZ18" s="4">
        <v>1500</v>
      </c>
      <c r="FA18" s="3" t="s">
        <v>29</v>
      </c>
      <c r="FB18" s="4">
        <v>1500</v>
      </c>
      <c r="FC18" s="3" t="s">
        <v>29</v>
      </c>
      <c r="FD18" s="4">
        <v>1500</v>
      </c>
      <c r="FE18" s="3" t="s">
        <v>29</v>
      </c>
      <c r="FF18" s="4">
        <v>1500</v>
      </c>
      <c r="FG18" s="3" t="s">
        <v>29</v>
      </c>
      <c r="FH18" s="4">
        <v>1500</v>
      </c>
      <c r="FI18" s="3" t="s">
        <v>29</v>
      </c>
      <c r="FJ18" s="4">
        <v>1500</v>
      </c>
      <c r="FK18" s="3" t="s">
        <v>29</v>
      </c>
      <c r="FL18" s="4">
        <v>1500</v>
      </c>
      <c r="FM18" s="3" t="s">
        <v>29</v>
      </c>
      <c r="FN18" s="4">
        <v>1500</v>
      </c>
      <c r="FO18" s="3" t="s">
        <v>29</v>
      </c>
      <c r="FP18" s="4">
        <v>1500</v>
      </c>
      <c r="FQ18" s="3" t="s">
        <v>29</v>
      </c>
      <c r="FR18" s="4">
        <v>1500</v>
      </c>
      <c r="FS18" s="3" t="s">
        <v>29</v>
      </c>
      <c r="FT18" s="4">
        <v>1500</v>
      </c>
      <c r="FU18" s="3" t="s">
        <v>29</v>
      </c>
      <c r="FV18" s="4">
        <v>1500</v>
      </c>
      <c r="FW18" s="3" t="s">
        <v>29</v>
      </c>
      <c r="FX18" s="4">
        <v>1500</v>
      </c>
      <c r="FY18" s="3" t="s">
        <v>29</v>
      </c>
      <c r="FZ18" s="4">
        <v>1500</v>
      </c>
      <c r="GA18" s="3" t="s">
        <v>29</v>
      </c>
      <c r="GB18" s="4">
        <v>1500</v>
      </c>
      <c r="GC18" s="3" t="s">
        <v>29</v>
      </c>
      <c r="GD18" s="4">
        <v>1500</v>
      </c>
      <c r="GE18" s="3" t="s">
        <v>29</v>
      </c>
      <c r="GF18" s="4">
        <v>1500</v>
      </c>
      <c r="GG18" s="3" t="s">
        <v>29</v>
      </c>
      <c r="GH18" s="4">
        <v>1500</v>
      </c>
      <c r="GI18" s="3" t="s">
        <v>29</v>
      </c>
      <c r="GJ18" s="4">
        <v>1500</v>
      </c>
      <c r="GK18" s="3" t="s">
        <v>29</v>
      </c>
      <c r="GL18" s="4">
        <v>1500</v>
      </c>
      <c r="GM18" s="3" t="s">
        <v>29</v>
      </c>
      <c r="GN18" s="4">
        <v>1500</v>
      </c>
      <c r="GO18" s="3" t="s">
        <v>29</v>
      </c>
      <c r="GP18" s="4">
        <v>1500</v>
      </c>
      <c r="GQ18" s="3" t="s">
        <v>29</v>
      </c>
      <c r="GR18" s="4">
        <v>1500</v>
      </c>
      <c r="GS18" s="3" t="s">
        <v>29</v>
      </c>
      <c r="GT18" s="4">
        <v>1500</v>
      </c>
      <c r="GU18" s="3" t="s">
        <v>29</v>
      </c>
      <c r="GV18" s="4">
        <v>1500</v>
      </c>
      <c r="GW18" s="3" t="s">
        <v>29</v>
      </c>
      <c r="GX18" s="4">
        <v>1500</v>
      </c>
      <c r="GY18" s="3" t="s">
        <v>29</v>
      </c>
      <c r="GZ18" s="4">
        <v>1500</v>
      </c>
      <c r="HA18" s="3" t="s">
        <v>29</v>
      </c>
      <c r="HB18" s="4">
        <v>1500</v>
      </c>
      <c r="HC18" s="3" t="s">
        <v>29</v>
      </c>
      <c r="HD18" s="4">
        <v>1500</v>
      </c>
      <c r="HE18" s="3" t="s">
        <v>29</v>
      </c>
      <c r="HF18" s="4">
        <v>1500</v>
      </c>
      <c r="HG18" s="3" t="s">
        <v>29</v>
      </c>
      <c r="HH18" s="4">
        <v>1500</v>
      </c>
      <c r="HI18" s="3" t="s">
        <v>29</v>
      </c>
      <c r="HJ18" s="4">
        <v>1500</v>
      </c>
      <c r="HK18" s="3" t="s">
        <v>29</v>
      </c>
      <c r="HL18" s="4">
        <v>1500</v>
      </c>
      <c r="HM18" s="3" t="s">
        <v>29</v>
      </c>
      <c r="HN18" s="4">
        <v>1500</v>
      </c>
      <c r="HO18" s="3" t="s">
        <v>29</v>
      </c>
      <c r="HP18" s="4">
        <v>1500</v>
      </c>
      <c r="HQ18" s="3" t="s">
        <v>29</v>
      </c>
      <c r="HR18" s="4">
        <v>1500</v>
      </c>
      <c r="HS18" s="3" t="s">
        <v>29</v>
      </c>
      <c r="HT18" s="4">
        <v>1500</v>
      </c>
      <c r="HU18" s="3" t="s">
        <v>29</v>
      </c>
      <c r="HV18" s="4">
        <v>1500</v>
      </c>
      <c r="HW18" s="3" t="s">
        <v>29</v>
      </c>
      <c r="HX18" s="4">
        <v>1500</v>
      </c>
      <c r="HY18" s="3" t="s">
        <v>29</v>
      </c>
      <c r="HZ18" s="4">
        <v>1500</v>
      </c>
      <c r="IA18" s="3" t="s">
        <v>29</v>
      </c>
      <c r="IB18" s="4">
        <v>1500</v>
      </c>
      <c r="IC18" s="3" t="s">
        <v>29</v>
      </c>
      <c r="ID18" s="4">
        <v>1500</v>
      </c>
      <c r="IE18" s="3" t="s">
        <v>29</v>
      </c>
      <c r="IF18" s="4">
        <v>1500</v>
      </c>
      <c r="IG18" s="3" t="s">
        <v>29</v>
      </c>
      <c r="IH18" s="4">
        <v>1500</v>
      </c>
      <c r="II18" s="3" t="s">
        <v>29</v>
      </c>
      <c r="IJ18" s="4">
        <v>1500</v>
      </c>
      <c r="IK18" s="3" t="s">
        <v>29</v>
      </c>
      <c r="IL18" s="4">
        <v>1500</v>
      </c>
      <c r="IM18" s="3" t="s">
        <v>29</v>
      </c>
      <c r="IN18" s="4">
        <v>1500</v>
      </c>
      <c r="IO18" s="3" t="s">
        <v>29</v>
      </c>
      <c r="IP18" s="4">
        <v>1500</v>
      </c>
      <c r="IQ18" s="3" t="s">
        <v>29</v>
      </c>
      <c r="IR18" s="4">
        <v>1500</v>
      </c>
      <c r="IS18" s="3" t="s">
        <v>29</v>
      </c>
      <c r="IT18" s="4">
        <v>1500</v>
      </c>
      <c r="IU18" s="3" t="s">
        <v>29</v>
      </c>
      <c r="IV18" s="4">
        <v>1500</v>
      </c>
    </row>
    <row r="19" spans="1:256" ht="17.600000000000001" x14ac:dyDescent="0.4">
      <c r="A19" s="22" t="s">
        <v>22</v>
      </c>
      <c r="B19" s="24">
        <v>2543</v>
      </c>
      <c r="C19" s="14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7"/>
      <c r="AG19" s="3"/>
      <c r="AH19" s="4"/>
      <c r="AI19" s="3"/>
      <c r="AJ19" s="4"/>
      <c r="AK19" s="3"/>
      <c r="AL19" s="4"/>
      <c r="AM19" s="3"/>
      <c r="AN19" s="4"/>
      <c r="AO19" s="3"/>
      <c r="AP19" s="4"/>
      <c r="AQ19" s="3"/>
      <c r="AR19" s="4"/>
      <c r="AS19" s="3"/>
      <c r="AT19" s="4"/>
      <c r="AU19" s="3"/>
      <c r="AV19" s="4"/>
      <c r="AW19" s="3"/>
      <c r="AX19" s="4"/>
      <c r="AY19" s="3"/>
      <c r="AZ19" s="4"/>
      <c r="BA19" s="3"/>
      <c r="BB19" s="4"/>
      <c r="BC19" s="3"/>
      <c r="BD19" s="4"/>
      <c r="BE19" s="3"/>
      <c r="BF19" s="4"/>
      <c r="BG19" s="3"/>
      <c r="BH19" s="4"/>
      <c r="BI19" s="3"/>
      <c r="BJ19" s="4"/>
      <c r="BK19" s="3"/>
      <c r="BL19" s="4"/>
      <c r="BM19" s="3"/>
      <c r="BN19" s="4"/>
      <c r="BO19" s="3"/>
      <c r="BP19" s="4"/>
      <c r="BQ19" s="3"/>
      <c r="BR19" s="4"/>
      <c r="BS19" s="3"/>
      <c r="BT19" s="4"/>
      <c r="BU19" s="3"/>
      <c r="BV19" s="4"/>
      <c r="BW19" s="3"/>
      <c r="BX19" s="4"/>
      <c r="BY19" s="3"/>
      <c r="BZ19" s="4"/>
      <c r="CA19" s="3"/>
      <c r="CB19" s="4"/>
      <c r="CC19" s="3"/>
      <c r="CD19" s="4"/>
      <c r="CE19" s="3"/>
      <c r="CF19" s="4"/>
      <c r="CG19" s="3"/>
      <c r="CH19" s="4"/>
      <c r="CI19" s="3"/>
      <c r="CJ19" s="4"/>
      <c r="CK19" s="3"/>
      <c r="CL19" s="4"/>
      <c r="CM19" s="3"/>
      <c r="CN19" s="4"/>
      <c r="CO19" s="3"/>
      <c r="CP19" s="4"/>
      <c r="CQ19" s="3"/>
      <c r="CR19" s="4"/>
      <c r="CS19" s="3"/>
      <c r="CT19" s="4"/>
      <c r="CU19" s="3"/>
      <c r="CV19" s="4"/>
      <c r="CW19" s="3"/>
      <c r="CX19" s="4"/>
      <c r="CY19" s="3"/>
      <c r="CZ19" s="4"/>
      <c r="DA19" s="3"/>
      <c r="DB19" s="4"/>
      <c r="DC19" s="3"/>
      <c r="DD19" s="4"/>
      <c r="DE19" s="3"/>
      <c r="DF19" s="4"/>
      <c r="DG19" s="3"/>
      <c r="DH19" s="4"/>
      <c r="DI19" s="3"/>
      <c r="DJ19" s="4"/>
      <c r="DK19" s="3"/>
      <c r="DL19" s="4"/>
      <c r="DM19" s="3"/>
      <c r="DN19" s="4"/>
      <c r="DO19" s="3"/>
      <c r="DP19" s="4"/>
      <c r="DQ19" s="3"/>
      <c r="DR19" s="4"/>
      <c r="DS19" s="3"/>
      <c r="DT19" s="4"/>
      <c r="DU19" s="3"/>
      <c r="DV19" s="4"/>
      <c r="DW19" s="3"/>
      <c r="DX19" s="4"/>
      <c r="DY19" s="3"/>
      <c r="DZ19" s="4"/>
      <c r="EA19" s="3"/>
      <c r="EB19" s="4"/>
      <c r="EC19" s="3"/>
      <c r="ED19" s="4"/>
      <c r="EE19" s="3"/>
      <c r="EF19" s="4"/>
      <c r="EG19" s="3"/>
      <c r="EH19" s="4"/>
      <c r="EI19" s="3"/>
      <c r="EJ19" s="4"/>
      <c r="EK19" s="3"/>
      <c r="EL19" s="4"/>
      <c r="EM19" s="3"/>
      <c r="EN19" s="4"/>
      <c r="EO19" s="3"/>
      <c r="EP19" s="4"/>
      <c r="EQ19" s="3"/>
      <c r="ER19" s="4"/>
      <c r="ES19" s="3"/>
      <c r="ET19" s="4"/>
      <c r="EU19" s="3"/>
      <c r="EV19" s="4"/>
      <c r="EW19" s="3"/>
      <c r="EX19" s="4"/>
      <c r="EY19" s="3"/>
      <c r="EZ19" s="4"/>
      <c r="FA19" s="3"/>
      <c r="FB19" s="4"/>
      <c r="FC19" s="3"/>
      <c r="FD19" s="4"/>
      <c r="FE19" s="3"/>
      <c r="FF19" s="4"/>
      <c r="FG19" s="3"/>
      <c r="FH19" s="4"/>
      <c r="FI19" s="3"/>
      <c r="FJ19" s="4"/>
      <c r="FK19" s="3"/>
      <c r="FL19" s="4"/>
      <c r="FM19" s="3"/>
      <c r="FN19" s="4"/>
      <c r="FO19" s="3"/>
      <c r="FP19" s="4"/>
      <c r="FQ19" s="3"/>
      <c r="FR19" s="4"/>
      <c r="FS19" s="3"/>
      <c r="FT19" s="4"/>
      <c r="FU19" s="3"/>
      <c r="FV19" s="4"/>
      <c r="FW19" s="3"/>
      <c r="FX19" s="4"/>
      <c r="FY19" s="3"/>
      <c r="FZ19" s="4"/>
      <c r="GA19" s="3"/>
      <c r="GB19" s="4"/>
      <c r="GC19" s="3"/>
      <c r="GD19" s="4"/>
      <c r="GE19" s="3"/>
      <c r="GF19" s="4"/>
      <c r="GG19" s="3"/>
      <c r="GH19" s="4"/>
      <c r="GI19" s="3"/>
      <c r="GJ19" s="4"/>
      <c r="GK19" s="3"/>
      <c r="GL19" s="4"/>
      <c r="GM19" s="3"/>
      <c r="GN19" s="4"/>
      <c r="GO19" s="3"/>
      <c r="GP19" s="4"/>
      <c r="GQ19" s="3"/>
      <c r="GR19" s="4"/>
      <c r="GS19" s="3"/>
      <c r="GT19" s="4"/>
      <c r="GU19" s="3"/>
      <c r="GV19" s="4"/>
      <c r="GW19" s="3"/>
      <c r="GX19" s="4"/>
      <c r="GY19" s="3"/>
      <c r="GZ19" s="4"/>
      <c r="HA19" s="3"/>
      <c r="HB19" s="4"/>
      <c r="HC19" s="3"/>
      <c r="HD19" s="4"/>
      <c r="HE19" s="3"/>
      <c r="HF19" s="4"/>
      <c r="HG19" s="3"/>
      <c r="HH19" s="4"/>
      <c r="HI19" s="3"/>
      <c r="HJ19" s="4"/>
      <c r="HK19" s="3"/>
      <c r="HL19" s="4"/>
      <c r="HM19" s="3"/>
      <c r="HN19" s="4"/>
      <c r="HO19" s="3"/>
      <c r="HP19" s="4"/>
      <c r="HQ19" s="3"/>
      <c r="HR19" s="4"/>
      <c r="HS19" s="3"/>
      <c r="HT19" s="4"/>
      <c r="HU19" s="3"/>
      <c r="HV19" s="4"/>
      <c r="HW19" s="3"/>
      <c r="HX19" s="4"/>
      <c r="HY19" s="3"/>
      <c r="HZ19" s="4"/>
      <c r="IA19" s="3"/>
      <c r="IB19" s="4"/>
      <c r="IC19" s="3"/>
      <c r="ID19" s="4"/>
      <c r="IE19" s="3"/>
      <c r="IF19" s="4"/>
      <c r="IG19" s="3"/>
      <c r="IH19" s="4"/>
      <c r="II19" s="3"/>
      <c r="IJ19" s="4"/>
      <c r="IK19" s="3"/>
      <c r="IL19" s="4"/>
      <c r="IM19" s="3"/>
      <c r="IN19" s="4"/>
      <c r="IO19" s="3"/>
      <c r="IP19" s="4"/>
      <c r="IQ19" s="3"/>
      <c r="IR19" s="4"/>
      <c r="IS19" s="3"/>
      <c r="IT19" s="4"/>
      <c r="IU19" s="3"/>
      <c r="IV19" s="4"/>
    </row>
    <row r="20" spans="1:256" ht="20.149999999999999" x14ac:dyDescent="0.5">
      <c r="A20" s="22" t="s">
        <v>8</v>
      </c>
      <c r="B20" s="24">
        <v>2527</v>
      </c>
      <c r="C20" s="10">
        <f>SUM(C1:C19)</f>
        <v>80</v>
      </c>
      <c r="D20" s="10">
        <f>SUM(D1:D19)</f>
        <v>200</v>
      </c>
      <c r="E20" s="10">
        <f>SUM(C20:D20)</f>
        <v>280</v>
      </c>
      <c r="F20" s="10"/>
      <c r="G20" s="10"/>
      <c r="H20" s="10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6"/>
      <c r="AG20" s="5"/>
      <c r="AH20" s="6"/>
      <c r="AI20" s="5"/>
      <c r="AJ20" s="6"/>
      <c r="AK20" s="5"/>
      <c r="AL20" s="6">
        <f>SUM(AL14:AL18)</f>
        <v>8360</v>
      </c>
      <c r="AM20" s="5" t="s">
        <v>6</v>
      </c>
      <c r="AN20" s="6">
        <f>SUM(AN14:AN18)</f>
        <v>8360</v>
      </c>
      <c r="AO20" s="5" t="s">
        <v>6</v>
      </c>
      <c r="AP20" s="6">
        <f>SUM(AP14:AP18)</f>
        <v>8360</v>
      </c>
      <c r="AQ20" s="5" t="s">
        <v>6</v>
      </c>
      <c r="AR20" s="6">
        <f>SUM(AR14:AR18)</f>
        <v>8360</v>
      </c>
      <c r="AS20" s="5" t="s">
        <v>6</v>
      </c>
      <c r="AT20" s="6">
        <f>SUM(AT14:AT18)</f>
        <v>8360</v>
      </c>
      <c r="AU20" s="5" t="s">
        <v>6</v>
      </c>
      <c r="AV20" s="6">
        <f>SUM(AV14:AV18)</f>
        <v>8360</v>
      </c>
      <c r="AW20" s="5" t="s">
        <v>6</v>
      </c>
      <c r="AX20" s="6">
        <f>SUM(AX14:AX18)</f>
        <v>8360</v>
      </c>
      <c r="AY20" s="5" t="s">
        <v>6</v>
      </c>
      <c r="AZ20" s="6">
        <f>SUM(AZ14:AZ18)</f>
        <v>8360</v>
      </c>
      <c r="BA20" s="5" t="s">
        <v>6</v>
      </c>
      <c r="BB20" s="6">
        <f>SUM(BB14:BB18)</f>
        <v>8360</v>
      </c>
      <c r="BC20" s="5" t="s">
        <v>6</v>
      </c>
      <c r="BD20" s="6">
        <f>SUM(BD14:BD18)</f>
        <v>8360</v>
      </c>
      <c r="BE20" s="5" t="s">
        <v>6</v>
      </c>
      <c r="BF20" s="6">
        <f>SUM(BF14:BF18)</f>
        <v>8360</v>
      </c>
      <c r="BG20" s="5" t="s">
        <v>6</v>
      </c>
      <c r="BH20" s="6">
        <f>SUM(BH14:BH18)</f>
        <v>8360</v>
      </c>
      <c r="BI20" s="5" t="s">
        <v>6</v>
      </c>
      <c r="BJ20" s="6">
        <f>SUM(BJ14:BJ18)</f>
        <v>8360</v>
      </c>
      <c r="BK20" s="5" t="s">
        <v>6</v>
      </c>
      <c r="BL20" s="6">
        <f>SUM(BL14:BL18)</f>
        <v>8360</v>
      </c>
      <c r="BM20" s="5" t="s">
        <v>6</v>
      </c>
      <c r="BN20" s="6">
        <f>SUM(BN14:BN18)</f>
        <v>8360</v>
      </c>
      <c r="BO20" s="5" t="s">
        <v>6</v>
      </c>
      <c r="BP20" s="6">
        <f>SUM(BP14:BP18)</f>
        <v>8360</v>
      </c>
      <c r="BQ20" s="5" t="s">
        <v>6</v>
      </c>
      <c r="BR20" s="6">
        <f>SUM(BR14:BR18)</f>
        <v>8360</v>
      </c>
      <c r="BS20" s="5" t="s">
        <v>6</v>
      </c>
      <c r="BT20" s="6">
        <f>SUM(BT14:BT18)</f>
        <v>8360</v>
      </c>
      <c r="BU20" s="5" t="s">
        <v>6</v>
      </c>
      <c r="BV20" s="6">
        <f>SUM(BV14:BV18)</f>
        <v>8360</v>
      </c>
      <c r="BW20" s="5" t="s">
        <v>6</v>
      </c>
      <c r="BX20" s="6">
        <f>SUM(BX14:BX18)</f>
        <v>8360</v>
      </c>
      <c r="BY20" s="5" t="s">
        <v>6</v>
      </c>
      <c r="BZ20" s="6">
        <f>SUM(BZ14:BZ18)</f>
        <v>8360</v>
      </c>
      <c r="CA20" s="5" t="s">
        <v>6</v>
      </c>
      <c r="CB20" s="6">
        <f>SUM(CB14:CB18)</f>
        <v>8360</v>
      </c>
      <c r="CC20" s="5" t="s">
        <v>6</v>
      </c>
      <c r="CD20" s="6">
        <f>SUM(CD14:CD18)</f>
        <v>8360</v>
      </c>
      <c r="CE20" s="5" t="s">
        <v>6</v>
      </c>
      <c r="CF20" s="6">
        <f>SUM(CF14:CF18)</f>
        <v>8360</v>
      </c>
      <c r="CG20" s="5" t="s">
        <v>6</v>
      </c>
      <c r="CH20" s="6">
        <f>SUM(CH14:CH18)</f>
        <v>8360</v>
      </c>
      <c r="CI20" s="5" t="s">
        <v>6</v>
      </c>
      <c r="CJ20" s="6">
        <f>SUM(CJ14:CJ18)</f>
        <v>8360</v>
      </c>
      <c r="CK20" s="5" t="s">
        <v>6</v>
      </c>
      <c r="CL20" s="6">
        <f>SUM(CL14:CL18)</f>
        <v>8360</v>
      </c>
      <c r="CM20" s="5" t="s">
        <v>6</v>
      </c>
      <c r="CN20" s="6">
        <f>SUM(CN14:CN18)</f>
        <v>8360</v>
      </c>
      <c r="CO20" s="5" t="s">
        <v>6</v>
      </c>
      <c r="CP20" s="6">
        <f>SUM(CP14:CP18)</f>
        <v>8360</v>
      </c>
      <c r="CQ20" s="5" t="s">
        <v>6</v>
      </c>
      <c r="CR20" s="6">
        <f>SUM(CR14:CR18)</f>
        <v>8360</v>
      </c>
      <c r="CS20" s="5" t="s">
        <v>6</v>
      </c>
      <c r="CT20" s="6">
        <f>SUM(CT14:CT18)</f>
        <v>8360</v>
      </c>
      <c r="CU20" s="5" t="s">
        <v>6</v>
      </c>
      <c r="CV20" s="6">
        <f>SUM(CV14:CV18)</f>
        <v>8360</v>
      </c>
      <c r="CW20" s="5" t="s">
        <v>6</v>
      </c>
      <c r="CX20" s="6">
        <f>SUM(CX14:CX18)</f>
        <v>8360</v>
      </c>
      <c r="CY20" s="5" t="s">
        <v>6</v>
      </c>
      <c r="CZ20" s="6">
        <f>SUM(CZ14:CZ18)</f>
        <v>8360</v>
      </c>
      <c r="DA20" s="5" t="s">
        <v>6</v>
      </c>
      <c r="DB20" s="6">
        <f>SUM(DB14:DB18)</f>
        <v>8360</v>
      </c>
      <c r="DC20" s="5" t="s">
        <v>6</v>
      </c>
      <c r="DD20" s="6">
        <f>SUM(DD14:DD18)</f>
        <v>8360</v>
      </c>
      <c r="DE20" s="5" t="s">
        <v>6</v>
      </c>
      <c r="DF20" s="6">
        <f>SUM(DF14:DF18)</f>
        <v>8360</v>
      </c>
      <c r="DG20" s="5" t="s">
        <v>6</v>
      </c>
      <c r="DH20" s="6">
        <f>SUM(DH14:DH18)</f>
        <v>8360</v>
      </c>
      <c r="DI20" s="5" t="s">
        <v>6</v>
      </c>
      <c r="DJ20" s="6">
        <f>SUM(DJ14:DJ18)</f>
        <v>8360</v>
      </c>
      <c r="DK20" s="5" t="s">
        <v>6</v>
      </c>
      <c r="DL20" s="6">
        <f>SUM(DL14:DL18)</f>
        <v>8360</v>
      </c>
      <c r="DM20" s="5" t="s">
        <v>6</v>
      </c>
      <c r="DN20" s="6">
        <f>SUM(DN14:DN18)</f>
        <v>8360</v>
      </c>
      <c r="DO20" s="5" t="s">
        <v>6</v>
      </c>
      <c r="DP20" s="6">
        <f>SUM(DP14:DP18)</f>
        <v>8360</v>
      </c>
      <c r="DQ20" s="5" t="s">
        <v>6</v>
      </c>
      <c r="DR20" s="6">
        <f>SUM(DR14:DR18)</f>
        <v>8360</v>
      </c>
      <c r="DS20" s="5" t="s">
        <v>6</v>
      </c>
      <c r="DT20" s="6">
        <f>SUM(DT14:DT18)</f>
        <v>8360</v>
      </c>
      <c r="DU20" s="5" t="s">
        <v>6</v>
      </c>
      <c r="DV20" s="6">
        <f>SUM(DV14:DV18)</f>
        <v>8360</v>
      </c>
      <c r="DW20" s="5" t="s">
        <v>6</v>
      </c>
      <c r="DX20" s="6">
        <f>SUM(DX14:DX18)</f>
        <v>8360</v>
      </c>
      <c r="DY20" s="5" t="s">
        <v>6</v>
      </c>
      <c r="DZ20" s="6">
        <f>SUM(DZ14:DZ18)</f>
        <v>8360</v>
      </c>
      <c r="EA20" s="5" t="s">
        <v>6</v>
      </c>
      <c r="EB20" s="6">
        <f>SUM(EB14:EB18)</f>
        <v>8360</v>
      </c>
      <c r="EC20" s="5" t="s">
        <v>6</v>
      </c>
      <c r="ED20" s="6">
        <f>SUM(ED14:ED18)</f>
        <v>8360</v>
      </c>
      <c r="EE20" s="5" t="s">
        <v>6</v>
      </c>
      <c r="EF20" s="6">
        <f>SUM(EF14:EF18)</f>
        <v>8360</v>
      </c>
      <c r="EG20" s="5" t="s">
        <v>6</v>
      </c>
      <c r="EH20" s="6">
        <f>SUM(EH14:EH18)</f>
        <v>8360</v>
      </c>
      <c r="EI20" s="5" t="s">
        <v>6</v>
      </c>
      <c r="EJ20" s="6">
        <f>SUM(EJ14:EJ18)</f>
        <v>8360</v>
      </c>
      <c r="EK20" s="5" t="s">
        <v>6</v>
      </c>
      <c r="EL20" s="6">
        <f>SUM(EL14:EL18)</f>
        <v>8360</v>
      </c>
      <c r="EM20" s="5" t="s">
        <v>6</v>
      </c>
      <c r="EN20" s="6">
        <f>SUM(EN14:EN18)</f>
        <v>8360</v>
      </c>
      <c r="EO20" s="5" t="s">
        <v>6</v>
      </c>
      <c r="EP20" s="6">
        <f>SUM(EP14:EP18)</f>
        <v>8360</v>
      </c>
      <c r="EQ20" s="5" t="s">
        <v>6</v>
      </c>
      <c r="ER20" s="6">
        <f>SUM(ER14:ER18)</f>
        <v>8360</v>
      </c>
      <c r="ES20" s="5" t="s">
        <v>6</v>
      </c>
      <c r="ET20" s="6">
        <f>SUM(ET14:ET18)</f>
        <v>8360</v>
      </c>
      <c r="EU20" s="5" t="s">
        <v>6</v>
      </c>
      <c r="EV20" s="6">
        <f>SUM(EV14:EV18)</f>
        <v>8360</v>
      </c>
      <c r="EW20" s="5" t="s">
        <v>6</v>
      </c>
      <c r="EX20" s="6">
        <f>SUM(EX14:EX18)</f>
        <v>8360</v>
      </c>
      <c r="EY20" s="5" t="s">
        <v>6</v>
      </c>
      <c r="EZ20" s="6">
        <f>SUM(EZ14:EZ18)</f>
        <v>8360</v>
      </c>
      <c r="FA20" s="5" t="s">
        <v>6</v>
      </c>
      <c r="FB20" s="6">
        <f>SUM(FB14:FB18)</f>
        <v>8360</v>
      </c>
      <c r="FC20" s="5" t="s">
        <v>6</v>
      </c>
      <c r="FD20" s="6">
        <f>SUM(FD14:FD18)</f>
        <v>8360</v>
      </c>
      <c r="FE20" s="5" t="s">
        <v>6</v>
      </c>
      <c r="FF20" s="6">
        <f>SUM(FF14:FF18)</f>
        <v>8360</v>
      </c>
      <c r="FG20" s="5" t="s">
        <v>6</v>
      </c>
      <c r="FH20" s="6">
        <f>SUM(FH14:FH18)</f>
        <v>8360</v>
      </c>
      <c r="FI20" s="5" t="s">
        <v>6</v>
      </c>
      <c r="FJ20" s="6">
        <f>SUM(FJ14:FJ18)</f>
        <v>8360</v>
      </c>
      <c r="FK20" s="5" t="s">
        <v>6</v>
      </c>
      <c r="FL20" s="6">
        <f>SUM(FL14:FL18)</f>
        <v>8360</v>
      </c>
      <c r="FM20" s="5" t="s">
        <v>6</v>
      </c>
      <c r="FN20" s="6">
        <f>SUM(FN14:FN18)</f>
        <v>8360</v>
      </c>
      <c r="FO20" s="5" t="s">
        <v>6</v>
      </c>
      <c r="FP20" s="6">
        <f>SUM(FP14:FP18)</f>
        <v>8360</v>
      </c>
      <c r="FQ20" s="5" t="s">
        <v>6</v>
      </c>
      <c r="FR20" s="6">
        <f>SUM(FR14:FR18)</f>
        <v>8360</v>
      </c>
      <c r="FS20" s="5" t="s">
        <v>6</v>
      </c>
      <c r="FT20" s="6">
        <f>SUM(FT14:FT18)</f>
        <v>8360</v>
      </c>
      <c r="FU20" s="5" t="s">
        <v>6</v>
      </c>
      <c r="FV20" s="6">
        <f>SUM(FV14:FV18)</f>
        <v>8360</v>
      </c>
      <c r="FW20" s="5" t="s">
        <v>6</v>
      </c>
      <c r="FX20" s="6">
        <f>SUM(FX14:FX18)</f>
        <v>8360</v>
      </c>
      <c r="FY20" s="5" t="s">
        <v>6</v>
      </c>
      <c r="FZ20" s="6">
        <f>SUM(FZ14:FZ18)</f>
        <v>8360</v>
      </c>
      <c r="GA20" s="5" t="s">
        <v>6</v>
      </c>
      <c r="GB20" s="6">
        <f>SUM(GB14:GB18)</f>
        <v>8360</v>
      </c>
      <c r="GC20" s="5" t="s">
        <v>6</v>
      </c>
      <c r="GD20" s="6">
        <f>SUM(GD14:GD18)</f>
        <v>8360</v>
      </c>
      <c r="GE20" s="5" t="s">
        <v>6</v>
      </c>
      <c r="GF20" s="6">
        <f>SUM(GF14:GF18)</f>
        <v>8360</v>
      </c>
      <c r="GG20" s="5" t="s">
        <v>6</v>
      </c>
      <c r="GH20" s="6">
        <f>SUM(GH14:GH18)</f>
        <v>8360</v>
      </c>
      <c r="GI20" s="5" t="s">
        <v>6</v>
      </c>
      <c r="GJ20" s="6">
        <f>SUM(GJ14:GJ18)</f>
        <v>8360</v>
      </c>
      <c r="GK20" s="5" t="s">
        <v>6</v>
      </c>
      <c r="GL20" s="6">
        <f>SUM(GL14:GL18)</f>
        <v>8360</v>
      </c>
      <c r="GM20" s="5" t="s">
        <v>6</v>
      </c>
      <c r="GN20" s="6">
        <f>SUM(GN14:GN18)</f>
        <v>8360</v>
      </c>
      <c r="GO20" s="5" t="s">
        <v>6</v>
      </c>
      <c r="GP20" s="6">
        <f>SUM(GP14:GP18)</f>
        <v>8360</v>
      </c>
      <c r="GQ20" s="5" t="s">
        <v>6</v>
      </c>
      <c r="GR20" s="6">
        <f>SUM(GR14:GR18)</f>
        <v>8360</v>
      </c>
      <c r="GS20" s="5" t="s">
        <v>6</v>
      </c>
      <c r="GT20" s="6">
        <f>SUM(GT14:GT18)</f>
        <v>8360</v>
      </c>
      <c r="GU20" s="5" t="s">
        <v>6</v>
      </c>
      <c r="GV20" s="6">
        <f>SUM(GV14:GV18)</f>
        <v>8360</v>
      </c>
      <c r="GW20" s="5" t="s">
        <v>6</v>
      </c>
      <c r="GX20" s="6">
        <f>SUM(GX14:GX18)</f>
        <v>8360</v>
      </c>
      <c r="GY20" s="5" t="s">
        <v>6</v>
      </c>
      <c r="GZ20" s="6">
        <f>SUM(GZ14:GZ18)</f>
        <v>8360</v>
      </c>
      <c r="HA20" s="5" t="s">
        <v>6</v>
      </c>
      <c r="HB20" s="6">
        <f>SUM(HB14:HB18)</f>
        <v>8360</v>
      </c>
      <c r="HC20" s="5" t="s">
        <v>6</v>
      </c>
      <c r="HD20" s="6">
        <f>SUM(HD14:HD18)</f>
        <v>8360</v>
      </c>
      <c r="HE20" s="5" t="s">
        <v>6</v>
      </c>
      <c r="HF20" s="6">
        <f>SUM(HF14:HF18)</f>
        <v>8360</v>
      </c>
      <c r="HG20" s="5" t="s">
        <v>6</v>
      </c>
      <c r="HH20" s="6">
        <f>SUM(HH14:HH18)</f>
        <v>8360</v>
      </c>
      <c r="HI20" s="5" t="s">
        <v>6</v>
      </c>
      <c r="HJ20" s="6">
        <f>SUM(HJ14:HJ18)</f>
        <v>8360</v>
      </c>
      <c r="HK20" s="5" t="s">
        <v>6</v>
      </c>
      <c r="HL20" s="6">
        <f>SUM(HL14:HL18)</f>
        <v>8360</v>
      </c>
      <c r="HM20" s="5" t="s">
        <v>6</v>
      </c>
      <c r="HN20" s="6">
        <f>SUM(HN14:HN18)</f>
        <v>8360</v>
      </c>
      <c r="HO20" s="5" t="s">
        <v>6</v>
      </c>
      <c r="HP20" s="6">
        <f>SUM(HP14:HP18)</f>
        <v>8360</v>
      </c>
      <c r="HQ20" s="5" t="s">
        <v>6</v>
      </c>
      <c r="HR20" s="6">
        <f>SUM(HR14:HR18)</f>
        <v>8360</v>
      </c>
      <c r="HS20" s="5" t="s">
        <v>6</v>
      </c>
      <c r="HT20" s="6">
        <f>SUM(HT14:HT18)</f>
        <v>8360</v>
      </c>
      <c r="HU20" s="5" t="s">
        <v>6</v>
      </c>
      <c r="HV20" s="6">
        <f>SUM(HV14:HV18)</f>
        <v>8360</v>
      </c>
      <c r="HW20" s="5" t="s">
        <v>6</v>
      </c>
      <c r="HX20" s="6">
        <f>SUM(HX14:HX18)</f>
        <v>8360</v>
      </c>
      <c r="HY20" s="5" t="s">
        <v>6</v>
      </c>
      <c r="HZ20" s="6">
        <f>SUM(HZ14:HZ18)</f>
        <v>8360</v>
      </c>
      <c r="IA20" s="5" t="s">
        <v>6</v>
      </c>
      <c r="IB20" s="6">
        <f>SUM(IB14:IB18)</f>
        <v>8360</v>
      </c>
      <c r="IC20" s="5" t="s">
        <v>6</v>
      </c>
      <c r="ID20" s="6">
        <f>SUM(ID14:ID18)</f>
        <v>8360</v>
      </c>
      <c r="IE20" s="5" t="s">
        <v>6</v>
      </c>
      <c r="IF20" s="6">
        <f>SUM(IF14:IF18)</f>
        <v>8360</v>
      </c>
      <c r="IG20" s="5" t="s">
        <v>6</v>
      </c>
      <c r="IH20" s="6">
        <f>SUM(IH14:IH18)</f>
        <v>8360</v>
      </c>
      <c r="II20" s="5" t="s">
        <v>6</v>
      </c>
      <c r="IJ20" s="6">
        <f>SUM(IJ14:IJ18)</f>
        <v>8360</v>
      </c>
      <c r="IK20" s="5" t="s">
        <v>6</v>
      </c>
      <c r="IL20" s="6">
        <f>SUM(IL14:IL18)</f>
        <v>8360</v>
      </c>
      <c r="IM20" s="5" t="s">
        <v>6</v>
      </c>
      <c r="IN20" s="6">
        <f>SUM(IN14:IN18)</f>
        <v>8360</v>
      </c>
      <c r="IO20" s="5" t="s">
        <v>6</v>
      </c>
      <c r="IP20" s="6">
        <f>SUM(IP14:IP18)</f>
        <v>8360</v>
      </c>
      <c r="IQ20" s="5" t="s">
        <v>6</v>
      </c>
      <c r="IR20" s="6">
        <f>SUM(IR14:IR18)</f>
        <v>8360</v>
      </c>
      <c r="IS20" s="5" t="s">
        <v>6</v>
      </c>
      <c r="IT20" s="6">
        <f>SUM(IT14:IT18)</f>
        <v>8360</v>
      </c>
      <c r="IU20" s="5" t="s">
        <v>6</v>
      </c>
      <c r="IV20" s="6">
        <f>SUM(IV14:IV18)</f>
        <v>8360</v>
      </c>
    </row>
    <row r="21" spans="1:256" ht="17.600000000000001" x14ac:dyDescent="0.4">
      <c r="A21" s="22" t="s">
        <v>9</v>
      </c>
      <c r="B21" s="24">
        <v>2142</v>
      </c>
      <c r="C21" s="18"/>
      <c r="D21" s="19"/>
      <c r="E21" s="18"/>
      <c r="F21" s="19"/>
      <c r="G21" s="18"/>
      <c r="H21" s="19"/>
      <c r="I21" s="18"/>
      <c r="J21" s="19"/>
      <c r="K21" s="18"/>
      <c r="L21" s="19"/>
      <c r="M21" s="18"/>
      <c r="N21" s="19"/>
      <c r="O21" s="18"/>
      <c r="P21" s="19"/>
      <c r="Q21" s="18"/>
      <c r="R21" s="19"/>
      <c r="S21" s="18"/>
      <c r="T21" s="19"/>
      <c r="U21" s="18"/>
      <c r="V21" s="19"/>
      <c r="W21" s="18"/>
      <c r="X21" s="19"/>
      <c r="Y21" s="18"/>
      <c r="Z21" s="19"/>
      <c r="AA21" s="18"/>
      <c r="AB21" s="19"/>
      <c r="AC21" s="18"/>
      <c r="AD21" s="19"/>
      <c r="AE21" s="18"/>
      <c r="AF21" s="15"/>
      <c r="AG21" s="3"/>
      <c r="AH21" s="9"/>
      <c r="AI21" s="3"/>
      <c r="AJ21" s="9"/>
      <c r="AK21" s="3"/>
      <c r="AL21" s="9">
        <v>2311.4</v>
      </c>
      <c r="AM21" s="3" t="s">
        <v>22</v>
      </c>
      <c r="AN21" s="9">
        <v>2311.4</v>
      </c>
      <c r="AO21" s="3" t="s">
        <v>22</v>
      </c>
      <c r="AP21" s="9">
        <v>2311.4</v>
      </c>
      <c r="AQ21" s="3" t="s">
        <v>22</v>
      </c>
      <c r="AR21" s="9">
        <v>2311.4</v>
      </c>
      <c r="AS21" s="3" t="s">
        <v>22</v>
      </c>
      <c r="AT21" s="9">
        <v>2311.4</v>
      </c>
      <c r="AU21" s="3" t="s">
        <v>22</v>
      </c>
      <c r="AV21" s="9">
        <v>2311.4</v>
      </c>
      <c r="AW21" s="3" t="s">
        <v>22</v>
      </c>
      <c r="AX21" s="9">
        <v>2311.4</v>
      </c>
      <c r="AY21" s="3" t="s">
        <v>22</v>
      </c>
      <c r="AZ21" s="9">
        <v>2311.4</v>
      </c>
      <c r="BA21" s="3" t="s">
        <v>22</v>
      </c>
      <c r="BB21" s="9">
        <v>2311.4</v>
      </c>
      <c r="BC21" s="3" t="s">
        <v>22</v>
      </c>
      <c r="BD21" s="9">
        <v>2311.4</v>
      </c>
      <c r="BE21" s="3" t="s">
        <v>22</v>
      </c>
      <c r="BF21" s="9">
        <v>2311.4</v>
      </c>
      <c r="BG21" s="3" t="s">
        <v>22</v>
      </c>
      <c r="BH21" s="9">
        <v>2311.4</v>
      </c>
      <c r="BI21" s="3" t="s">
        <v>22</v>
      </c>
      <c r="BJ21" s="9">
        <v>2311.4</v>
      </c>
      <c r="BK21" s="3" t="s">
        <v>22</v>
      </c>
      <c r="BL21" s="9">
        <v>2311.4</v>
      </c>
      <c r="BM21" s="3" t="s">
        <v>22</v>
      </c>
      <c r="BN21" s="9">
        <v>2311.4</v>
      </c>
      <c r="BO21" s="3" t="s">
        <v>22</v>
      </c>
      <c r="BP21" s="9">
        <v>2311.4</v>
      </c>
      <c r="BQ21" s="3" t="s">
        <v>22</v>
      </c>
      <c r="BR21" s="9">
        <v>2311.4</v>
      </c>
      <c r="BS21" s="3" t="s">
        <v>22</v>
      </c>
      <c r="BT21" s="9">
        <v>2311.4</v>
      </c>
      <c r="BU21" s="3" t="s">
        <v>22</v>
      </c>
      <c r="BV21" s="9">
        <v>2311.4</v>
      </c>
      <c r="BW21" s="3" t="s">
        <v>22</v>
      </c>
      <c r="BX21" s="9">
        <v>2311.4</v>
      </c>
      <c r="BY21" s="3" t="s">
        <v>22</v>
      </c>
      <c r="BZ21" s="9">
        <v>2311.4</v>
      </c>
      <c r="CA21" s="3" t="s">
        <v>22</v>
      </c>
      <c r="CB21" s="9">
        <v>2311.4</v>
      </c>
      <c r="CC21" s="3" t="s">
        <v>22</v>
      </c>
      <c r="CD21" s="9">
        <v>2311.4</v>
      </c>
      <c r="CE21" s="3" t="s">
        <v>22</v>
      </c>
      <c r="CF21" s="9">
        <v>2311.4</v>
      </c>
      <c r="CG21" s="3" t="s">
        <v>22</v>
      </c>
      <c r="CH21" s="9">
        <v>2311.4</v>
      </c>
      <c r="CI21" s="3" t="s">
        <v>22</v>
      </c>
      <c r="CJ21" s="9">
        <v>2311.4</v>
      </c>
      <c r="CK21" s="3" t="s">
        <v>22</v>
      </c>
      <c r="CL21" s="9">
        <v>2311.4</v>
      </c>
      <c r="CM21" s="3" t="s">
        <v>22</v>
      </c>
      <c r="CN21" s="9">
        <v>2311.4</v>
      </c>
      <c r="CO21" s="3" t="s">
        <v>22</v>
      </c>
      <c r="CP21" s="9">
        <v>2311.4</v>
      </c>
      <c r="CQ21" s="3" t="s">
        <v>22</v>
      </c>
      <c r="CR21" s="9">
        <v>2311.4</v>
      </c>
      <c r="CS21" s="3" t="s">
        <v>22</v>
      </c>
      <c r="CT21" s="9">
        <v>2311.4</v>
      </c>
      <c r="CU21" s="3" t="s">
        <v>22</v>
      </c>
      <c r="CV21" s="9">
        <v>2311.4</v>
      </c>
      <c r="CW21" s="3" t="s">
        <v>22</v>
      </c>
      <c r="CX21" s="9">
        <v>2311.4</v>
      </c>
      <c r="CY21" s="3" t="s">
        <v>22</v>
      </c>
      <c r="CZ21" s="9">
        <v>2311.4</v>
      </c>
      <c r="DA21" s="3" t="s">
        <v>22</v>
      </c>
      <c r="DB21" s="9">
        <v>2311.4</v>
      </c>
      <c r="DC21" s="3" t="s">
        <v>22</v>
      </c>
      <c r="DD21" s="9">
        <v>2311.4</v>
      </c>
      <c r="DE21" s="3" t="s">
        <v>22</v>
      </c>
      <c r="DF21" s="9">
        <v>2311.4</v>
      </c>
      <c r="DG21" s="3" t="s">
        <v>22</v>
      </c>
      <c r="DH21" s="9">
        <v>2311.4</v>
      </c>
      <c r="DI21" s="3" t="s">
        <v>22</v>
      </c>
      <c r="DJ21" s="9">
        <v>2311.4</v>
      </c>
      <c r="DK21" s="3" t="s">
        <v>22</v>
      </c>
      <c r="DL21" s="9">
        <v>2311.4</v>
      </c>
      <c r="DM21" s="3" t="s">
        <v>22</v>
      </c>
      <c r="DN21" s="9">
        <v>2311.4</v>
      </c>
      <c r="DO21" s="3" t="s">
        <v>22</v>
      </c>
      <c r="DP21" s="9">
        <v>2311.4</v>
      </c>
      <c r="DQ21" s="3" t="s">
        <v>22</v>
      </c>
      <c r="DR21" s="9">
        <v>2311.4</v>
      </c>
      <c r="DS21" s="3" t="s">
        <v>22</v>
      </c>
      <c r="DT21" s="9">
        <v>2311.4</v>
      </c>
      <c r="DU21" s="3" t="s">
        <v>22</v>
      </c>
      <c r="DV21" s="9">
        <v>2311.4</v>
      </c>
      <c r="DW21" s="3" t="s">
        <v>22</v>
      </c>
      <c r="DX21" s="9">
        <v>2311.4</v>
      </c>
      <c r="DY21" s="3" t="s">
        <v>22</v>
      </c>
      <c r="DZ21" s="9">
        <v>2311.4</v>
      </c>
      <c r="EA21" s="3" t="s">
        <v>22</v>
      </c>
      <c r="EB21" s="9">
        <v>2311.4</v>
      </c>
      <c r="EC21" s="3" t="s">
        <v>22</v>
      </c>
      <c r="ED21" s="9">
        <v>2311.4</v>
      </c>
      <c r="EE21" s="3" t="s">
        <v>22</v>
      </c>
      <c r="EF21" s="9">
        <v>2311.4</v>
      </c>
      <c r="EG21" s="3" t="s">
        <v>22</v>
      </c>
      <c r="EH21" s="9">
        <v>2311.4</v>
      </c>
      <c r="EI21" s="3" t="s">
        <v>22</v>
      </c>
      <c r="EJ21" s="9">
        <v>2311.4</v>
      </c>
      <c r="EK21" s="3" t="s">
        <v>22</v>
      </c>
      <c r="EL21" s="9">
        <v>2311.4</v>
      </c>
      <c r="EM21" s="3" t="s">
        <v>22</v>
      </c>
      <c r="EN21" s="9">
        <v>2311.4</v>
      </c>
      <c r="EO21" s="3" t="s">
        <v>22</v>
      </c>
      <c r="EP21" s="9">
        <v>2311.4</v>
      </c>
      <c r="EQ21" s="3" t="s">
        <v>22</v>
      </c>
      <c r="ER21" s="9">
        <v>2311.4</v>
      </c>
      <c r="ES21" s="3" t="s">
        <v>22</v>
      </c>
      <c r="ET21" s="9">
        <v>2311.4</v>
      </c>
      <c r="EU21" s="3" t="s">
        <v>22</v>
      </c>
      <c r="EV21" s="9">
        <v>2311.4</v>
      </c>
      <c r="EW21" s="3" t="s">
        <v>22</v>
      </c>
      <c r="EX21" s="9">
        <v>2311.4</v>
      </c>
      <c r="EY21" s="3" t="s">
        <v>22</v>
      </c>
      <c r="EZ21" s="9">
        <v>2311.4</v>
      </c>
      <c r="FA21" s="3" t="s">
        <v>22</v>
      </c>
      <c r="FB21" s="9">
        <v>2311.4</v>
      </c>
      <c r="FC21" s="3" t="s">
        <v>22</v>
      </c>
      <c r="FD21" s="9">
        <v>2311.4</v>
      </c>
      <c r="FE21" s="3" t="s">
        <v>22</v>
      </c>
      <c r="FF21" s="9">
        <v>2311.4</v>
      </c>
      <c r="FG21" s="3" t="s">
        <v>22</v>
      </c>
      <c r="FH21" s="9">
        <v>2311.4</v>
      </c>
      <c r="FI21" s="3" t="s">
        <v>22</v>
      </c>
      <c r="FJ21" s="9">
        <v>2311.4</v>
      </c>
      <c r="FK21" s="3" t="s">
        <v>22</v>
      </c>
      <c r="FL21" s="9">
        <v>2311.4</v>
      </c>
      <c r="FM21" s="3" t="s">
        <v>22</v>
      </c>
      <c r="FN21" s="9">
        <v>2311.4</v>
      </c>
      <c r="FO21" s="3" t="s">
        <v>22</v>
      </c>
      <c r="FP21" s="9">
        <v>2311.4</v>
      </c>
      <c r="FQ21" s="3" t="s">
        <v>22</v>
      </c>
      <c r="FR21" s="9">
        <v>2311.4</v>
      </c>
      <c r="FS21" s="3" t="s">
        <v>22</v>
      </c>
      <c r="FT21" s="9">
        <v>2311.4</v>
      </c>
      <c r="FU21" s="3" t="s">
        <v>22</v>
      </c>
      <c r="FV21" s="9">
        <v>2311.4</v>
      </c>
      <c r="FW21" s="3" t="s">
        <v>22</v>
      </c>
      <c r="FX21" s="9">
        <v>2311.4</v>
      </c>
      <c r="FY21" s="3" t="s">
        <v>22</v>
      </c>
      <c r="FZ21" s="9">
        <v>2311.4</v>
      </c>
      <c r="GA21" s="3" t="s">
        <v>22</v>
      </c>
      <c r="GB21" s="9">
        <v>2311.4</v>
      </c>
      <c r="GC21" s="3" t="s">
        <v>22</v>
      </c>
      <c r="GD21" s="9">
        <v>2311.4</v>
      </c>
      <c r="GE21" s="3" t="s">
        <v>22</v>
      </c>
      <c r="GF21" s="9">
        <v>2311.4</v>
      </c>
      <c r="GG21" s="3" t="s">
        <v>22</v>
      </c>
      <c r="GH21" s="9">
        <v>2311.4</v>
      </c>
      <c r="GI21" s="3" t="s">
        <v>22</v>
      </c>
      <c r="GJ21" s="9">
        <v>2311.4</v>
      </c>
      <c r="GK21" s="3" t="s">
        <v>22</v>
      </c>
      <c r="GL21" s="9">
        <v>2311.4</v>
      </c>
      <c r="GM21" s="3" t="s">
        <v>22</v>
      </c>
      <c r="GN21" s="9">
        <v>2311.4</v>
      </c>
      <c r="GO21" s="3" t="s">
        <v>22</v>
      </c>
      <c r="GP21" s="9">
        <v>2311.4</v>
      </c>
      <c r="GQ21" s="3" t="s">
        <v>22</v>
      </c>
      <c r="GR21" s="9">
        <v>2311.4</v>
      </c>
      <c r="GS21" s="3" t="s">
        <v>22</v>
      </c>
      <c r="GT21" s="9">
        <v>2311.4</v>
      </c>
      <c r="GU21" s="3" t="s">
        <v>22</v>
      </c>
      <c r="GV21" s="9">
        <v>2311.4</v>
      </c>
      <c r="GW21" s="3" t="s">
        <v>22</v>
      </c>
      <c r="GX21" s="9">
        <v>2311.4</v>
      </c>
      <c r="GY21" s="3" t="s">
        <v>22</v>
      </c>
      <c r="GZ21" s="9">
        <v>2311.4</v>
      </c>
      <c r="HA21" s="3" t="s">
        <v>22</v>
      </c>
      <c r="HB21" s="9">
        <v>2311.4</v>
      </c>
      <c r="HC21" s="3" t="s">
        <v>22</v>
      </c>
      <c r="HD21" s="9">
        <v>2311.4</v>
      </c>
      <c r="HE21" s="3" t="s">
        <v>22</v>
      </c>
      <c r="HF21" s="9">
        <v>2311.4</v>
      </c>
      <c r="HG21" s="3" t="s">
        <v>22</v>
      </c>
      <c r="HH21" s="9">
        <v>2311.4</v>
      </c>
      <c r="HI21" s="3" t="s">
        <v>22</v>
      </c>
      <c r="HJ21" s="9">
        <v>2311.4</v>
      </c>
      <c r="HK21" s="3" t="s">
        <v>22</v>
      </c>
      <c r="HL21" s="9">
        <v>2311.4</v>
      </c>
      <c r="HM21" s="3" t="s">
        <v>22</v>
      </c>
      <c r="HN21" s="9">
        <v>2311.4</v>
      </c>
      <c r="HO21" s="3" t="s">
        <v>22</v>
      </c>
      <c r="HP21" s="9">
        <v>2311.4</v>
      </c>
      <c r="HQ21" s="3" t="s">
        <v>22</v>
      </c>
      <c r="HR21" s="9">
        <v>2311.4</v>
      </c>
      <c r="HS21" s="3" t="s">
        <v>22</v>
      </c>
      <c r="HT21" s="9">
        <v>2311.4</v>
      </c>
      <c r="HU21" s="3" t="s">
        <v>22</v>
      </c>
      <c r="HV21" s="9">
        <v>2311.4</v>
      </c>
      <c r="HW21" s="3" t="s">
        <v>22</v>
      </c>
      <c r="HX21" s="9">
        <v>2311.4</v>
      </c>
      <c r="HY21" s="3" t="s">
        <v>22</v>
      </c>
      <c r="HZ21" s="9">
        <v>2311.4</v>
      </c>
      <c r="IA21" s="3" t="s">
        <v>22</v>
      </c>
      <c r="IB21" s="9">
        <v>2311.4</v>
      </c>
      <c r="IC21" s="3" t="s">
        <v>22</v>
      </c>
      <c r="ID21" s="9">
        <v>2311.4</v>
      </c>
      <c r="IE21" s="3" t="s">
        <v>22</v>
      </c>
      <c r="IF21" s="9">
        <v>2311.4</v>
      </c>
      <c r="IG21" s="3" t="s">
        <v>22</v>
      </c>
      <c r="IH21" s="9">
        <v>2311.4</v>
      </c>
      <c r="II21" s="3" t="s">
        <v>22</v>
      </c>
      <c r="IJ21" s="9">
        <v>2311.4</v>
      </c>
      <c r="IK21" s="3" t="s">
        <v>22</v>
      </c>
      <c r="IL21" s="9">
        <v>2311.4</v>
      </c>
      <c r="IM21" s="3" t="s">
        <v>22</v>
      </c>
      <c r="IN21" s="9">
        <v>2311.4</v>
      </c>
      <c r="IO21" s="3" t="s">
        <v>22</v>
      </c>
      <c r="IP21" s="9">
        <v>2311.4</v>
      </c>
      <c r="IQ21" s="3" t="s">
        <v>22</v>
      </c>
      <c r="IR21" s="9">
        <v>2311.4</v>
      </c>
      <c r="IS21" s="3" t="s">
        <v>22</v>
      </c>
      <c r="IT21" s="9">
        <v>2311.4</v>
      </c>
      <c r="IU21" s="3" t="s">
        <v>22</v>
      </c>
      <c r="IV21" s="9">
        <v>2311.4</v>
      </c>
    </row>
    <row r="22" spans="1:256" ht="17.600000000000001" x14ac:dyDescent="0.4">
      <c r="A22" s="22" t="s">
        <v>11</v>
      </c>
      <c r="B22" s="24">
        <v>2543</v>
      </c>
      <c r="C22" s="18"/>
      <c r="D22" s="19"/>
      <c r="E22" s="18"/>
      <c r="F22" s="19"/>
      <c r="G22" s="18"/>
      <c r="H22" s="19"/>
      <c r="I22" s="18"/>
      <c r="J22" s="19"/>
      <c r="K22" s="18"/>
      <c r="L22" s="19"/>
      <c r="M22" s="18"/>
      <c r="N22" s="19"/>
      <c r="O22" s="18"/>
      <c r="P22" s="19"/>
      <c r="Q22" s="18"/>
      <c r="R22" s="19"/>
      <c r="S22" s="18"/>
      <c r="T22" s="19"/>
      <c r="U22" s="18"/>
      <c r="V22" s="19"/>
      <c r="W22" s="18"/>
      <c r="X22" s="19"/>
      <c r="Y22" s="18"/>
      <c r="Z22" s="19"/>
      <c r="AA22" s="18"/>
      <c r="AB22" s="19"/>
      <c r="AC22" s="18"/>
      <c r="AD22" s="19"/>
      <c r="AE22" s="18"/>
      <c r="AF22" s="15"/>
      <c r="AG22" s="3"/>
      <c r="AH22" s="9"/>
      <c r="AI22" s="3"/>
      <c r="AJ22" s="9"/>
      <c r="AK22" s="3"/>
      <c r="AL22" s="9">
        <v>2306.6</v>
      </c>
      <c r="AM22" s="3" t="s">
        <v>8</v>
      </c>
      <c r="AN22" s="9">
        <v>2306.6</v>
      </c>
      <c r="AO22" s="3" t="s">
        <v>8</v>
      </c>
      <c r="AP22" s="9">
        <v>2306.6</v>
      </c>
      <c r="AQ22" s="3" t="s">
        <v>8</v>
      </c>
      <c r="AR22" s="9">
        <v>2306.6</v>
      </c>
      <c r="AS22" s="3" t="s">
        <v>8</v>
      </c>
      <c r="AT22" s="9">
        <v>2306.6</v>
      </c>
      <c r="AU22" s="3" t="s">
        <v>8</v>
      </c>
      <c r="AV22" s="9">
        <v>2306.6</v>
      </c>
      <c r="AW22" s="3" t="s">
        <v>8</v>
      </c>
      <c r="AX22" s="9">
        <v>2306.6</v>
      </c>
      <c r="AY22" s="3" t="s">
        <v>8</v>
      </c>
      <c r="AZ22" s="9">
        <v>2306.6</v>
      </c>
      <c r="BA22" s="3" t="s">
        <v>8</v>
      </c>
      <c r="BB22" s="9">
        <v>2306.6</v>
      </c>
      <c r="BC22" s="3" t="s">
        <v>8</v>
      </c>
      <c r="BD22" s="9">
        <v>2306.6</v>
      </c>
      <c r="BE22" s="3" t="s">
        <v>8</v>
      </c>
      <c r="BF22" s="9">
        <v>2306.6</v>
      </c>
      <c r="BG22" s="3" t="s">
        <v>8</v>
      </c>
      <c r="BH22" s="9">
        <v>2306.6</v>
      </c>
      <c r="BI22" s="3" t="s">
        <v>8</v>
      </c>
      <c r="BJ22" s="9">
        <v>2306.6</v>
      </c>
      <c r="BK22" s="3" t="s">
        <v>8</v>
      </c>
      <c r="BL22" s="9">
        <v>2306.6</v>
      </c>
      <c r="BM22" s="3" t="s">
        <v>8</v>
      </c>
      <c r="BN22" s="9">
        <v>2306.6</v>
      </c>
      <c r="BO22" s="3" t="s">
        <v>8</v>
      </c>
      <c r="BP22" s="9">
        <v>2306.6</v>
      </c>
      <c r="BQ22" s="3" t="s">
        <v>8</v>
      </c>
      <c r="BR22" s="9">
        <v>2306.6</v>
      </c>
      <c r="BS22" s="3" t="s">
        <v>8</v>
      </c>
      <c r="BT22" s="9">
        <v>2306.6</v>
      </c>
      <c r="BU22" s="3" t="s">
        <v>8</v>
      </c>
      <c r="BV22" s="9">
        <v>2306.6</v>
      </c>
      <c r="BW22" s="3" t="s">
        <v>8</v>
      </c>
      <c r="BX22" s="9">
        <v>2306.6</v>
      </c>
      <c r="BY22" s="3" t="s">
        <v>8</v>
      </c>
      <c r="BZ22" s="9">
        <v>2306.6</v>
      </c>
      <c r="CA22" s="3" t="s">
        <v>8</v>
      </c>
      <c r="CB22" s="9">
        <v>2306.6</v>
      </c>
      <c r="CC22" s="3" t="s">
        <v>8</v>
      </c>
      <c r="CD22" s="9">
        <v>2306.6</v>
      </c>
      <c r="CE22" s="3" t="s">
        <v>8</v>
      </c>
      <c r="CF22" s="9">
        <v>2306.6</v>
      </c>
      <c r="CG22" s="3" t="s">
        <v>8</v>
      </c>
      <c r="CH22" s="9">
        <v>2306.6</v>
      </c>
      <c r="CI22" s="3" t="s">
        <v>8</v>
      </c>
      <c r="CJ22" s="9">
        <v>2306.6</v>
      </c>
      <c r="CK22" s="3" t="s">
        <v>8</v>
      </c>
      <c r="CL22" s="9">
        <v>2306.6</v>
      </c>
      <c r="CM22" s="3" t="s">
        <v>8</v>
      </c>
      <c r="CN22" s="9">
        <v>2306.6</v>
      </c>
      <c r="CO22" s="3" t="s">
        <v>8</v>
      </c>
      <c r="CP22" s="9">
        <v>2306.6</v>
      </c>
      <c r="CQ22" s="3" t="s">
        <v>8</v>
      </c>
      <c r="CR22" s="9">
        <v>2306.6</v>
      </c>
      <c r="CS22" s="3" t="s">
        <v>8</v>
      </c>
      <c r="CT22" s="9">
        <v>2306.6</v>
      </c>
      <c r="CU22" s="3" t="s">
        <v>8</v>
      </c>
      <c r="CV22" s="9">
        <v>2306.6</v>
      </c>
      <c r="CW22" s="3" t="s">
        <v>8</v>
      </c>
      <c r="CX22" s="9">
        <v>2306.6</v>
      </c>
      <c r="CY22" s="3" t="s">
        <v>8</v>
      </c>
      <c r="CZ22" s="9">
        <v>2306.6</v>
      </c>
      <c r="DA22" s="3" t="s">
        <v>8</v>
      </c>
      <c r="DB22" s="9">
        <v>2306.6</v>
      </c>
      <c r="DC22" s="3" t="s">
        <v>8</v>
      </c>
      <c r="DD22" s="9">
        <v>2306.6</v>
      </c>
      <c r="DE22" s="3" t="s">
        <v>8</v>
      </c>
      <c r="DF22" s="9">
        <v>2306.6</v>
      </c>
      <c r="DG22" s="3" t="s">
        <v>8</v>
      </c>
      <c r="DH22" s="9">
        <v>2306.6</v>
      </c>
      <c r="DI22" s="3" t="s">
        <v>8</v>
      </c>
      <c r="DJ22" s="9">
        <v>2306.6</v>
      </c>
      <c r="DK22" s="3" t="s">
        <v>8</v>
      </c>
      <c r="DL22" s="9">
        <v>2306.6</v>
      </c>
      <c r="DM22" s="3" t="s">
        <v>8</v>
      </c>
      <c r="DN22" s="9">
        <v>2306.6</v>
      </c>
      <c r="DO22" s="3" t="s">
        <v>8</v>
      </c>
      <c r="DP22" s="9">
        <v>2306.6</v>
      </c>
      <c r="DQ22" s="3" t="s">
        <v>8</v>
      </c>
      <c r="DR22" s="9">
        <v>2306.6</v>
      </c>
      <c r="DS22" s="3" t="s">
        <v>8</v>
      </c>
      <c r="DT22" s="9">
        <v>2306.6</v>
      </c>
      <c r="DU22" s="3" t="s">
        <v>8</v>
      </c>
      <c r="DV22" s="9">
        <v>2306.6</v>
      </c>
      <c r="DW22" s="3" t="s">
        <v>8</v>
      </c>
      <c r="DX22" s="9">
        <v>2306.6</v>
      </c>
      <c r="DY22" s="3" t="s">
        <v>8</v>
      </c>
      <c r="DZ22" s="9">
        <v>2306.6</v>
      </c>
      <c r="EA22" s="3" t="s">
        <v>8</v>
      </c>
      <c r="EB22" s="9">
        <v>2306.6</v>
      </c>
      <c r="EC22" s="3" t="s">
        <v>8</v>
      </c>
      <c r="ED22" s="9">
        <v>2306.6</v>
      </c>
      <c r="EE22" s="3" t="s">
        <v>8</v>
      </c>
      <c r="EF22" s="9">
        <v>2306.6</v>
      </c>
      <c r="EG22" s="3" t="s">
        <v>8</v>
      </c>
      <c r="EH22" s="9">
        <v>2306.6</v>
      </c>
      <c r="EI22" s="3" t="s">
        <v>8</v>
      </c>
      <c r="EJ22" s="9">
        <v>2306.6</v>
      </c>
      <c r="EK22" s="3" t="s">
        <v>8</v>
      </c>
      <c r="EL22" s="9">
        <v>2306.6</v>
      </c>
      <c r="EM22" s="3" t="s">
        <v>8</v>
      </c>
      <c r="EN22" s="9">
        <v>2306.6</v>
      </c>
      <c r="EO22" s="3" t="s">
        <v>8</v>
      </c>
      <c r="EP22" s="9">
        <v>2306.6</v>
      </c>
      <c r="EQ22" s="3" t="s">
        <v>8</v>
      </c>
      <c r="ER22" s="9">
        <v>2306.6</v>
      </c>
      <c r="ES22" s="3" t="s">
        <v>8</v>
      </c>
      <c r="ET22" s="9">
        <v>2306.6</v>
      </c>
      <c r="EU22" s="3" t="s">
        <v>8</v>
      </c>
      <c r="EV22" s="9">
        <v>2306.6</v>
      </c>
      <c r="EW22" s="3" t="s">
        <v>8</v>
      </c>
      <c r="EX22" s="9">
        <v>2306.6</v>
      </c>
      <c r="EY22" s="3" t="s">
        <v>8</v>
      </c>
      <c r="EZ22" s="9">
        <v>2306.6</v>
      </c>
      <c r="FA22" s="3" t="s">
        <v>8</v>
      </c>
      <c r="FB22" s="9">
        <v>2306.6</v>
      </c>
      <c r="FC22" s="3" t="s">
        <v>8</v>
      </c>
      <c r="FD22" s="9">
        <v>2306.6</v>
      </c>
      <c r="FE22" s="3" t="s">
        <v>8</v>
      </c>
      <c r="FF22" s="9">
        <v>2306.6</v>
      </c>
      <c r="FG22" s="3" t="s">
        <v>8</v>
      </c>
      <c r="FH22" s="9">
        <v>2306.6</v>
      </c>
      <c r="FI22" s="3" t="s">
        <v>8</v>
      </c>
      <c r="FJ22" s="9">
        <v>2306.6</v>
      </c>
      <c r="FK22" s="3" t="s">
        <v>8</v>
      </c>
      <c r="FL22" s="9">
        <v>2306.6</v>
      </c>
      <c r="FM22" s="3" t="s">
        <v>8</v>
      </c>
      <c r="FN22" s="9">
        <v>2306.6</v>
      </c>
      <c r="FO22" s="3" t="s">
        <v>8</v>
      </c>
      <c r="FP22" s="9">
        <v>2306.6</v>
      </c>
      <c r="FQ22" s="3" t="s">
        <v>8</v>
      </c>
      <c r="FR22" s="9">
        <v>2306.6</v>
      </c>
      <c r="FS22" s="3" t="s">
        <v>8</v>
      </c>
      <c r="FT22" s="9">
        <v>2306.6</v>
      </c>
      <c r="FU22" s="3" t="s">
        <v>8</v>
      </c>
      <c r="FV22" s="9">
        <v>2306.6</v>
      </c>
      <c r="FW22" s="3" t="s">
        <v>8</v>
      </c>
      <c r="FX22" s="9">
        <v>2306.6</v>
      </c>
      <c r="FY22" s="3" t="s">
        <v>8</v>
      </c>
      <c r="FZ22" s="9">
        <v>2306.6</v>
      </c>
      <c r="GA22" s="3" t="s">
        <v>8</v>
      </c>
      <c r="GB22" s="9">
        <v>2306.6</v>
      </c>
      <c r="GC22" s="3" t="s">
        <v>8</v>
      </c>
      <c r="GD22" s="9">
        <v>2306.6</v>
      </c>
      <c r="GE22" s="3" t="s">
        <v>8</v>
      </c>
      <c r="GF22" s="9">
        <v>2306.6</v>
      </c>
      <c r="GG22" s="3" t="s">
        <v>8</v>
      </c>
      <c r="GH22" s="9">
        <v>2306.6</v>
      </c>
      <c r="GI22" s="3" t="s">
        <v>8</v>
      </c>
      <c r="GJ22" s="9">
        <v>2306.6</v>
      </c>
      <c r="GK22" s="3" t="s">
        <v>8</v>
      </c>
      <c r="GL22" s="9">
        <v>2306.6</v>
      </c>
      <c r="GM22" s="3" t="s">
        <v>8</v>
      </c>
      <c r="GN22" s="9">
        <v>2306.6</v>
      </c>
      <c r="GO22" s="3" t="s">
        <v>8</v>
      </c>
      <c r="GP22" s="9">
        <v>2306.6</v>
      </c>
      <c r="GQ22" s="3" t="s">
        <v>8</v>
      </c>
      <c r="GR22" s="9">
        <v>2306.6</v>
      </c>
      <c r="GS22" s="3" t="s">
        <v>8</v>
      </c>
      <c r="GT22" s="9">
        <v>2306.6</v>
      </c>
      <c r="GU22" s="3" t="s">
        <v>8</v>
      </c>
      <c r="GV22" s="9">
        <v>2306.6</v>
      </c>
      <c r="GW22" s="3" t="s">
        <v>8</v>
      </c>
      <c r="GX22" s="9">
        <v>2306.6</v>
      </c>
      <c r="GY22" s="3" t="s">
        <v>8</v>
      </c>
      <c r="GZ22" s="9">
        <v>2306.6</v>
      </c>
      <c r="HA22" s="3" t="s">
        <v>8</v>
      </c>
      <c r="HB22" s="9">
        <v>2306.6</v>
      </c>
      <c r="HC22" s="3" t="s">
        <v>8</v>
      </c>
      <c r="HD22" s="9">
        <v>2306.6</v>
      </c>
      <c r="HE22" s="3" t="s">
        <v>8</v>
      </c>
      <c r="HF22" s="9">
        <v>2306.6</v>
      </c>
      <c r="HG22" s="3" t="s">
        <v>8</v>
      </c>
      <c r="HH22" s="9">
        <v>2306.6</v>
      </c>
      <c r="HI22" s="3" t="s">
        <v>8</v>
      </c>
      <c r="HJ22" s="9">
        <v>2306.6</v>
      </c>
      <c r="HK22" s="3" t="s">
        <v>8</v>
      </c>
      <c r="HL22" s="9">
        <v>2306.6</v>
      </c>
      <c r="HM22" s="3" t="s">
        <v>8</v>
      </c>
      <c r="HN22" s="9">
        <v>2306.6</v>
      </c>
      <c r="HO22" s="3" t="s">
        <v>8</v>
      </c>
      <c r="HP22" s="9">
        <v>2306.6</v>
      </c>
      <c r="HQ22" s="3" t="s">
        <v>8</v>
      </c>
      <c r="HR22" s="9">
        <v>2306.6</v>
      </c>
      <c r="HS22" s="3" t="s">
        <v>8</v>
      </c>
      <c r="HT22" s="9">
        <v>2306.6</v>
      </c>
      <c r="HU22" s="3" t="s">
        <v>8</v>
      </c>
      <c r="HV22" s="9">
        <v>2306.6</v>
      </c>
      <c r="HW22" s="3" t="s">
        <v>8</v>
      </c>
      <c r="HX22" s="9">
        <v>2306.6</v>
      </c>
      <c r="HY22" s="3" t="s">
        <v>8</v>
      </c>
      <c r="HZ22" s="9">
        <v>2306.6</v>
      </c>
      <c r="IA22" s="3" t="s">
        <v>8</v>
      </c>
      <c r="IB22" s="9">
        <v>2306.6</v>
      </c>
      <c r="IC22" s="3" t="s">
        <v>8</v>
      </c>
      <c r="ID22" s="9">
        <v>2306.6</v>
      </c>
      <c r="IE22" s="3" t="s">
        <v>8</v>
      </c>
      <c r="IF22" s="9">
        <v>2306.6</v>
      </c>
      <c r="IG22" s="3" t="s">
        <v>8</v>
      </c>
      <c r="IH22" s="9">
        <v>2306.6</v>
      </c>
      <c r="II22" s="3" t="s">
        <v>8</v>
      </c>
      <c r="IJ22" s="9">
        <v>2306.6</v>
      </c>
      <c r="IK22" s="3" t="s">
        <v>8</v>
      </c>
      <c r="IL22" s="9">
        <v>2306.6</v>
      </c>
      <c r="IM22" s="3" t="s">
        <v>8</v>
      </c>
      <c r="IN22" s="9">
        <v>2306.6</v>
      </c>
      <c r="IO22" s="3" t="s">
        <v>8</v>
      </c>
      <c r="IP22" s="9">
        <v>2306.6</v>
      </c>
      <c r="IQ22" s="3" t="s">
        <v>8</v>
      </c>
      <c r="IR22" s="9">
        <v>2306.6</v>
      </c>
      <c r="IS22" s="3" t="s">
        <v>8</v>
      </c>
      <c r="IT22" s="9">
        <v>2306.6</v>
      </c>
      <c r="IU22" s="3" t="s">
        <v>8</v>
      </c>
      <c r="IV22" s="9">
        <v>2306.6</v>
      </c>
    </row>
    <row r="23" spans="1:256" ht="20.149999999999999" x14ac:dyDescent="0.5">
      <c r="A23" s="21" t="s">
        <v>6</v>
      </c>
      <c r="B23" s="21">
        <f>SUM(B19:B22)</f>
        <v>9755</v>
      </c>
      <c r="C23" s="18"/>
      <c r="D23" s="19"/>
      <c r="E23" s="18"/>
      <c r="F23" s="19"/>
      <c r="G23" s="18"/>
      <c r="H23" s="19"/>
      <c r="I23" s="18"/>
      <c r="J23" s="19"/>
      <c r="K23" s="18"/>
      <c r="L23" s="19"/>
      <c r="M23" s="18"/>
      <c r="N23" s="19"/>
      <c r="O23" s="18"/>
      <c r="P23" s="19"/>
      <c r="Q23" s="18"/>
      <c r="R23" s="19"/>
      <c r="S23" s="18"/>
      <c r="T23" s="19"/>
      <c r="U23" s="18"/>
      <c r="V23" s="19"/>
      <c r="W23" s="18"/>
      <c r="X23" s="19"/>
      <c r="Y23" s="18"/>
      <c r="Z23" s="19"/>
      <c r="AA23" s="18"/>
      <c r="AB23" s="19"/>
      <c r="AC23" s="18"/>
      <c r="AD23" s="19"/>
      <c r="AE23" s="18"/>
      <c r="AF23" s="15"/>
      <c r="AG23" s="3"/>
      <c r="AH23" s="9"/>
      <c r="AI23" s="3"/>
      <c r="AJ23" s="9"/>
      <c r="AK23" s="3"/>
      <c r="AL23" s="9">
        <v>2177.6999999999998</v>
      </c>
      <c r="AM23" s="3" t="s">
        <v>9</v>
      </c>
      <c r="AN23" s="9">
        <v>2177.6999999999998</v>
      </c>
      <c r="AO23" s="3" t="s">
        <v>9</v>
      </c>
      <c r="AP23" s="9">
        <v>2177.6999999999998</v>
      </c>
      <c r="AQ23" s="3" t="s">
        <v>9</v>
      </c>
      <c r="AR23" s="9">
        <v>2177.6999999999998</v>
      </c>
      <c r="AS23" s="3" t="s">
        <v>9</v>
      </c>
      <c r="AT23" s="9">
        <v>2177.6999999999998</v>
      </c>
      <c r="AU23" s="3" t="s">
        <v>9</v>
      </c>
      <c r="AV23" s="9">
        <v>2177.6999999999998</v>
      </c>
      <c r="AW23" s="3" t="s">
        <v>9</v>
      </c>
      <c r="AX23" s="9">
        <v>2177.6999999999998</v>
      </c>
      <c r="AY23" s="3" t="s">
        <v>9</v>
      </c>
      <c r="AZ23" s="9">
        <v>2177.6999999999998</v>
      </c>
      <c r="BA23" s="3" t="s">
        <v>9</v>
      </c>
      <c r="BB23" s="9">
        <v>2177.6999999999998</v>
      </c>
      <c r="BC23" s="3" t="s">
        <v>9</v>
      </c>
      <c r="BD23" s="9">
        <v>2177.6999999999998</v>
      </c>
      <c r="BE23" s="3" t="s">
        <v>9</v>
      </c>
      <c r="BF23" s="9">
        <v>2177.6999999999998</v>
      </c>
      <c r="BG23" s="3" t="s">
        <v>9</v>
      </c>
      <c r="BH23" s="9">
        <v>2177.6999999999998</v>
      </c>
      <c r="BI23" s="3" t="s">
        <v>9</v>
      </c>
      <c r="BJ23" s="9">
        <v>2177.6999999999998</v>
      </c>
      <c r="BK23" s="3" t="s">
        <v>9</v>
      </c>
      <c r="BL23" s="9">
        <v>2177.6999999999998</v>
      </c>
      <c r="BM23" s="3" t="s">
        <v>9</v>
      </c>
      <c r="BN23" s="9">
        <v>2177.6999999999998</v>
      </c>
      <c r="BO23" s="3" t="s">
        <v>9</v>
      </c>
      <c r="BP23" s="9">
        <v>2177.6999999999998</v>
      </c>
      <c r="BQ23" s="3" t="s">
        <v>9</v>
      </c>
      <c r="BR23" s="9">
        <v>2177.6999999999998</v>
      </c>
      <c r="BS23" s="3" t="s">
        <v>9</v>
      </c>
      <c r="BT23" s="9">
        <v>2177.6999999999998</v>
      </c>
      <c r="BU23" s="3" t="s">
        <v>9</v>
      </c>
      <c r="BV23" s="9">
        <v>2177.6999999999998</v>
      </c>
      <c r="BW23" s="3" t="s">
        <v>9</v>
      </c>
      <c r="BX23" s="9">
        <v>2177.6999999999998</v>
      </c>
      <c r="BY23" s="3" t="s">
        <v>9</v>
      </c>
      <c r="BZ23" s="9">
        <v>2177.6999999999998</v>
      </c>
      <c r="CA23" s="3" t="s">
        <v>9</v>
      </c>
      <c r="CB23" s="9">
        <v>2177.6999999999998</v>
      </c>
      <c r="CC23" s="3" t="s">
        <v>9</v>
      </c>
      <c r="CD23" s="9">
        <v>2177.6999999999998</v>
      </c>
      <c r="CE23" s="3" t="s">
        <v>9</v>
      </c>
      <c r="CF23" s="9">
        <v>2177.6999999999998</v>
      </c>
      <c r="CG23" s="3" t="s">
        <v>9</v>
      </c>
      <c r="CH23" s="9">
        <v>2177.6999999999998</v>
      </c>
      <c r="CI23" s="3" t="s">
        <v>9</v>
      </c>
      <c r="CJ23" s="9">
        <v>2177.6999999999998</v>
      </c>
      <c r="CK23" s="3" t="s">
        <v>9</v>
      </c>
      <c r="CL23" s="9">
        <v>2177.6999999999998</v>
      </c>
      <c r="CM23" s="3" t="s">
        <v>9</v>
      </c>
      <c r="CN23" s="9">
        <v>2177.6999999999998</v>
      </c>
      <c r="CO23" s="3" t="s">
        <v>9</v>
      </c>
      <c r="CP23" s="9">
        <v>2177.6999999999998</v>
      </c>
      <c r="CQ23" s="3" t="s">
        <v>9</v>
      </c>
      <c r="CR23" s="9">
        <v>2177.6999999999998</v>
      </c>
      <c r="CS23" s="3" t="s">
        <v>9</v>
      </c>
      <c r="CT23" s="9">
        <v>2177.6999999999998</v>
      </c>
      <c r="CU23" s="3" t="s">
        <v>9</v>
      </c>
      <c r="CV23" s="9">
        <v>2177.6999999999998</v>
      </c>
      <c r="CW23" s="3" t="s">
        <v>9</v>
      </c>
      <c r="CX23" s="9">
        <v>2177.6999999999998</v>
      </c>
      <c r="CY23" s="3" t="s">
        <v>9</v>
      </c>
      <c r="CZ23" s="9">
        <v>2177.6999999999998</v>
      </c>
      <c r="DA23" s="3" t="s">
        <v>9</v>
      </c>
      <c r="DB23" s="9">
        <v>2177.6999999999998</v>
      </c>
      <c r="DC23" s="3" t="s">
        <v>9</v>
      </c>
      <c r="DD23" s="9">
        <v>2177.6999999999998</v>
      </c>
      <c r="DE23" s="3" t="s">
        <v>9</v>
      </c>
      <c r="DF23" s="9">
        <v>2177.6999999999998</v>
      </c>
      <c r="DG23" s="3" t="s">
        <v>9</v>
      </c>
      <c r="DH23" s="9">
        <v>2177.6999999999998</v>
      </c>
      <c r="DI23" s="3" t="s">
        <v>9</v>
      </c>
      <c r="DJ23" s="9">
        <v>2177.6999999999998</v>
      </c>
      <c r="DK23" s="3" t="s">
        <v>9</v>
      </c>
      <c r="DL23" s="9">
        <v>2177.6999999999998</v>
      </c>
      <c r="DM23" s="3" t="s">
        <v>9</v>
      </c>
      <c r="DN23" s="9">
        <v>2177.6999999999998</v>
      </c>
      <c r="DO23" s="3" t="s">
        <v>9</v>
      </c>
      <c r="DP23" s="9">
        <v>2177.6999999999998</v>
      </c>
      <c r="DQ23" s="3" t="s">
        <v>9</v>
      </c>
      <c r="DR23" s="9">
        <v>2177.6999999999998</v>
      </c>
      <c r="DS23" s="3" t="s">
        <v>9</v>
      </c>
      <c r="DT23" s="9">
        <v>2177.6999999999998</v>
      </c>
      <c r="DU23" s="3" t="s">
        <v>9</v>
      </c>
      <c r="DV23" s="9">
        <v>2177.6999999999998</v>
      </c>
      <c r="DW23" s="3" t="s">
        <v>9</v>
      </c>
      <c r="DX23" s="9">
        <v>2177.6999999999998</v>
      </c>
      <c r="DY23" s="3" t="s">
        <v>9</v>
      </c>
      <c r="DZ23" s="9">
        <v>2177.6999999999998</v>
      </c>
      <c r="EA23" s="3" t="s">
        <v>9</v>
      </c>
      <c r="EB23" s="9">
        <v>2177.6999999999998</v>
      </c>
      <c r="EC23" s="3" t="s">
        <v>9</v>
      </c>
      <c r="ED23" s="9">
        <v>2177.6999999999998</v>
      </c>
      <c r="EE23" s="3" t="s">
        <v>9</v>
      </c>
      <c r="EF23" s="9">
        <v>2177.6999999999998</v>
      </c>
      <c r="EG23" s="3" t="s">
        <v>9</v>
      </c>
      <c r="EH23" s="9">
        <v>2177.6999999999998</v>
      </c>
      <c r="EI23" s="3" t="s">
        <v>9</v>
      </c>
      <c r="EJ23" s="9">
        <v>2177.6999999999998</v>
      </c>
      <c r="EK23" s="3" t="s">
        <v>9</v>
      </c>
      <c r="EL23" s="9">
        <v>2177.6999999999998</v>
      </c>
      <c r="EM23" s="3" t="s">
        <v>9</v>
      </c>
      <c r="EN23" s="9">
        <v>2177.6999999999998</v>
      </c>
      <c r="EO23" s="3" t="s">
        <v>9</v>
      </c>
      <c r="EP23" s="9">
        <v>2177.6999999999998</v>
      </c>
      <c r="EQ23" s="3" t="s">
        <v>9</v>
      </c>
      <c r="ER23" s="9">
        <v>2177.6999999999998</v>
      </c>
      <c r="ES23" s="3" t="s">
        <v>9</v>
      </c>
      <c r="ET23" s="9">
        <v>2177.6999999999998</v>
      </c>
      <c r="EU23" s="3" t="s">
        <v>9</v>
      </c>
      <c r="EV23" s="9">
        <v>2177.6999999999998</v>
      </c>
      <c r="EW23" s="3" t="s">
        <v>9</v>
      </c>
      <c r="EX23" s="9">
        <v>2177.6999999999998</v>
      </c>
      <c r="EY23" s="3" t="s">
        <v>9</v>
      </c>
      <c r="EZ23" s="9">
        <v>2177.6999999999998</v>
      </c>
      <c r="FA23" s="3" t="s">
        <v>9</v>
      </c>
      <c r="FB23" s="9">
        <v>2177.6999999999998</v>
      </c>
      <c r="FC23" s="3" t="s">
        <v>9</v>
      </c>
      <c r="FD23" s="9">
        <v>2177.6999999999998</v>
      </c>
      <c r="FE23" s="3" t="s">
        <v>9</v>
      </c>
      <c r="FF23" s="9">
        <v>2177.6999999999998</v>
      </c>
      <c r="FG23" s="3" t="s">
        <v>9</v>
      </c>
      <c r="FH23" s="9">
        <v>2177.6999999999998</v>
      </c>
      <c r="FI23" s="3" t="s">
        <v>9</v>
      </c>
      <c r="FJ23" s="9">
        <v>2177.6999999999998</v>
      </c>
      <c r="FK23" s="3" t="s">
        <v>9</v>
      </c>
      <c r="FL23" s="9">
        <v>2177.6999999999998</v>
      </c>
      <c r="FM23" s="3" t="s">
        <v>9</v>
      </c>
      <c r="FN23" s="9">
        <v>2177.6999999999998</v>
      </c>
      <c r="FO23" s="3" t="s">
        <v>9</v>
      </c>
      <c r="FP23" s="9">
        <v>2177.6999999999998</v>
      </c>
      <c r="FQ23" s="3" t="s">
        <v>9</v>
      </c>
      <c r="FR23" s="9">
        <v>2177.6999999999998</v>
      </c>
      <c r="FS23" s="3" t="s">
        <v>9</v>
      </c>
      <c r="FT23" s="9">
        <v>2177.6999999999998</v>
      </c>
      <c r="FU23" s="3" t="s">
        <v>9</v>
      </c>
      <c r="FV23" s="9">
        <v>2177.6999999999998</v>
      </c>
      <c r="FW23" s="3" t="s">
        <v>9</v>
      </c>
      <c r="FX23" s="9">
        <v>2177.6999999999998</v>
      </c>
      <c r="FY23" s="3" t="s">
        <v>9</v>
      </c>
      <c r="FZ23" s="9">
        <v>2177.6999999999998</v>
      </c>
      <c r="GA23" s="3" t="s">
        <v>9</v>
      </c>
      <c r="GB23" s="9">
        <v>2177.6999999999998</v>
      </c>
      <c r="GC23" s="3" t="s">
        <v>9</v>
      </c>
      <c r="GD23" s="9">
        <v>2177.6999999999998</v>
      </c>
      <c r="GE23" s="3" t="s">
        <v>9</v>
      </c>
      <c r="GF23" s="9">
        <v>2177.6999999999998</v>
      </c>
      <c r="GG23" s="3" t="s">
        <v>9</v>
      </c>
      <c r="GH23" s="9">
        <v>2177.6999999999998</v>
      </c>
      <c r="GI23" s="3" t="s">
        <v>9</v>
      </c>
      <c r="GJ23" s="9">
        <v>2177.6999999999998</v>
      </c>
      <c r="GK23" s="3" t="s">
        <v>9</v>
      </c>
      <c r="GL23" s="9">
        <v>2177.6999999999998</v>
      </c>
      <c r="GM23" s="3" t="s">
        <v>9</v>
      </c>
      <c r="GN23" s="9">
        <v>2177.6999999999998</v>
      </c>
      <c r="GO23" s="3" t="s">
        <v>9</v>
      </c>
      <c r="GP23" s="9">
        <v>2177.6999999999998</v>
      </c>
      <c r="GQ23" s="3" t="s">
        <v>9</v>
      </c>
      <c r="GR23" s="9">
        <v>2177.6999999999998</v>
      </c>
      <c r="GS23" s="3" t="s">
        <v>9</v>
      </c>
      <c r="GT23" s="9">
        <v>2177.6999999999998</v>
      </c>
      <c r="GU23" s="3" t="s">
        <v>9</v>
      </c>
      <c r="GV23" s="9">
        <v>2177.6999999999998</v>
      </c>
      <c r="GW23" s="3" t="s">
        <v>9</v>
      </c>
      <c r="GX23" s="9">
        <v>2177.6999999999998</v>
      </c>
      <c r="GY23" s="3" t="s">
        <v>9</v>
      </c>
      <c r="GZ23" s="9">
        <v>2177.6999999999998</v>
      </c>
      <c r="HA23" s="3" t="s">
        <v>9</v>
      </c>
      <c r="HB23" s="9">
        <v>2177.6999999999998</v>
      </c>
      <c r="HC23" s="3" t="s">
        <v>9</v>
      </c>
      <c r="HD23" s="9">
        <v>2177.6999999999998</v>
      </c>
      <c r="HE23" s="3" t="s">
        <v>9</v>
      </c>
      <c r="HF23" s="9">
        <v>2177.6999999999998</v>
      </c>
      <c r="HG23" s="3" t="s">
        <v>9</v>
      </c>
      <c r="HH23" s="9">
        <v>2177.6999999999998</v>
      </c>
      <c r="HI23" s="3" t="s">
        <v>9</v>
      </c>
      <c r="HJ23" s="9">
        <v>2177.6999999999998</v>
      </c>
      <c r="HK23" s="3" t="s">
        <v>9</v>
      </c>
      <c r="HL23" s="9">
        <v>2177.6999999999998</v>
      </c>
      <c r="HM23" s="3" t="s">
        <v>9</v>
      </c>
      <c r="HN23" s="9">
        <v>2177.6999999999998</v>
      </c>
      <c r="HO23" s="3" t="s">
        <v>9</v>
      </c>
      <c r="HP23" s="9">
        <v>2177.6999999999998</v>
      </c>
      <c r="HQ23" s="3" t="s">
        <v>9</v>
      </c>
      <c r="HR23" s="9">
        <v>2177.6999999999998</v>
      </c>
      <c r="HS23" s="3" t="s">
        <v>9</v>
      </c>
      <c r="HT23" s="9">
        <v>2177.6999999999998</v>
      </c>
      <c r="HU23" s="3" t="s">
        <v>9</v>
      </c>
      <c r="HV23" s="9">
        <v>2177.6999999999998</v>
      </c>
      <c r="HW23" s="3" t="s">
        <v>9</v>
      </c>
      <c r="HX23" s="9">
        <v>2177.6999999999998</v>
      </c>
      <c r="HY23" s="3" t="s">
        <v>9</v>
      </c>
      <c r="HZ23" s="9">
        <v>2177.6999999999998</v>
      </c>
      <c r="IA23" s="3" t="s">
        <v>9</v>
      </c>
      <c r="IB23" s="9">
        <v>2177.6999999999998</v>
      </c>
      <c r="IC23" s="3" t="s">
        <v>9</v>
      </c>
      <c r="ID23" s="9">
        <v>2177.6999999999998</v>
      </c>
      <c r="IE23" s="3" t="s">
        <v>9</v>
      </c>
      <c r="IF23" s="9">
        <v>2177.6999999999998</v>
      </c>
      <c r="IG23" s="3" t="s">
        <v>9</v>
      </c>
      <c r="IH23" s="9">
        <v>2177.6999999999998</v>
      </c>
      <c r="II23" s="3" t="s">
        <v>9</v>
      </c>
      <c r="IJ23" s="9">
        <v>2177.6999999999998</v>
      </c>
      <c r="IK23" s="3" t="s">
        <v>9</v>
      </c>
      <c r="IL23" s="9">
        <v>2177.6999999999998</v>
      </c>
      <c r="IM23" s="3" t="s">
        <v>9</v>
      </c>
      <c r="IN23" s="9">
        <v>2177.6999999999998</v>
      </c>
      <c r="IO23" s="3" t="s">
        <v>9</v>
      </c>
      <c r="IP23" s="9">
        <v>2177.6999999999998</v>
      </c>
      <c r="IQ23" s="3" t="s">
        <v>9</v>
      </c>
      <c r="IR23" s="9">
        <v>2177.6999999999998</v>
      </c>
      <c r="IS23" s="3" t="s">
        <v>9</v>
      </c>
      <c r="IT23" s="9">
        <v>2177.6999999999998</v>
      </c>
      <c r="IU23" s="3" t="s">
        <v>9</v>
      </c>
      <c r="IV23" s="9">
        <v>2177.6999999999998</v>
      </c>
    </row>
    <row r="24" spans="1:256" ht="17.600000000000001" x14ac:dyDescent="0.4">
      <c r="A24" s="22" t="s">
        <v>12</v>
      </c>
      <c r="B24" s="24">
        <v>8320</v>
      </c>
      <c r="C24" s="18"/>
      <c r="D24" s="19"/>
      <c r="E24" s="18"/>
      <c r="F24" s="19"/>
      <c r="G24" s="18"/>
      <c r="H24" s="19"/>
      <c r="I24" s="18"/>
      <c r="J24" s="19"/>
      <c r="K24" s="18"/>
      <c r="L24" s="19"/>
      <c r="M24" s="18"/>
      <c r="N24" s="19"/>
      <c r="O24" s="18"/>
      <c r="P24" s="19"/>
      <c r="Q24" s="18"/>
      <c r="R24" s="19"/>
      <c r="S24" s="18"/>
      <c r="T24" s="19"/>
      <c r="U24" s="18"/>
      <c r="V24" s="19"/>
      <c r="W24" s="18"/>
      <c r="X24" s="19"/>
      <c r="Y24" s="18"/>
      <c r="Z24" s="19"/>
      <c r="AA24" s="18"/>
      <c r="AB24" s="19"/>
      <c r="AC24" s="18"/>
      <c r="AD24" s="19"/>
      <c r="AE24" s="18"/>
      <c r="AF24" s="15"/>
      <c r="AG24" s="3"/>
      <c r="AH24" s="9"/>
      <c r="AI24" s="3"/>
      <c r="AJ24" s="9"/>
      <c r="AK24" s="3"/>
      <c r="AL24" s="9">
        <v>1567</v>
      </c>
      <c r="AM24" s="3" t="s">
        <v>11</v>
      </c>
      <c r="AN24" s="9">
        <v>1567</v>
      </c>
      <c r="AO24" s="3" t="s">
        <v>11</v>
      </c>
      <c r="AP24" s="9">
        <v>1567</v>
      </c>
      <c r="AQ24" s="3" t="s">
        <v>11</v>
      </c>
      <c r="AR24" s="9">
        <v>1567</v>
      </c>
      <c r="AS24" s="3" t="s">
        <v>11</v>
      </c>
      <c r="AT24" s="9">
        <v>1567</v>
      </c>
      <c r="AU24" s="3" t="s">
        <v>11</v>
      </c>
      <c r="AV24" s="9">
        <v>1567</v>
      </c>
      <c r="AW24" s="3" t="s">
        <v>11</v>
      </c>
      <c r="AX24" s="9">
        <v>1567</v>
      </c>
      <c r="AY24" s="3" t="s">
        <v>11</v>
      </c>
      <c r="AZ24" s="9">
        <v>1567</v>
      </c>
      <c r="BA24" s="3" t="s">
        <v>11</v>
      </c>
      <c r="BB24" s="9">
        <v>1567</v>
      </c>
      <c r="BC24" s="3" t="s">
        <v>11</v>
      </c>
      <c r="BD24" s="9">
        <v>1567</v>
      </c>
      <c r="BE24" s="3" t="s">
        <v>11</v>
      </c>
      <c r="BF24" s="9">
        <v>1567</v>
      </c>
      <c r="BG24" s="3" t="s">
        <v>11</v>
      </c>
      <c r="BH24" s="9">
        <v>1567</v>
      </c>
      <c r="BI24" s="3" t="s">
        <v>11</v>
      </c>
      <c r="BJ24" s="9">
        <v>1567</v>
      </c>
      <c r="BK24" s="3" t="s">
        <v>11</v>
      </c>
      <c r="BL24" s="9">
        <v>1567</v>
      </c>
      <c r="BM24" s="3" t="s">
        <v>11</v>
      </c>
      <c r="BN24" s="9">
        <v>1567</v>
      </c>
      <c r="BO24" s="3" t="s">
        <v>11</v>
      </c>
      <c r="BP24" s="9">
        <v>1567</v>
      </c>
      <c r="BQ24" s="3" t="s">
        <v>11</v>
      </c>
      <c r="BR24" s="9">
        <v>1567</v>
      </c>
      <c r="BS24" s="3" t="s">
        <v>11</v>
      </c>
      <c r="BT24" s="9">
        <v>1567</v>
      </c>
      <c r="BU24" s="3" t="s">
        <v>11</v>
      </c>
      <c r="BV24" s="9">
        <v>1567</v>
      </c>
      <c r="BW24" s="3" t="s">
        <v>11</v>
      </c>
      <c r="BX24" s="9">
        <v>1567</v>
      </c>
      <c r="BY24" s="3" t="s">
        <v>11</v>
      </c>
      <c r="BZ24" s="9">
        <v>1567</v>
      </c>
      <c r="CA24" s="3" t="s">
        <v>11</v>
      </c>
      <c r="CB24" s="9">
        <v>1567</v>
      </c>
      <c r="CC24" s="3" t="s">
        <v>11</v>
      </c>
      <c r="CD24" s="9">
        <v>1567</v>
      </c>
      <c r="CE24" s="3" t="s">
        <v>11</v>
      </c>
      <c r="CF24" s="9">
        <v>1567</v>
      </c>
      <c r="CG24" s="3" t="s">
        <v>11</v>
      </c>
      <c r="CH24" s="9">
        <v>1567</v>
      </c>
      <c r="CI24" s="3" t="s">
        <v>11</v>
      </c>
      <c r="CJ24" s="9">
        <v>1567</v>
      </c>
      <c r="CK24" s="3" t="s">
        <v>11</v>
      </c>
      <c r="CL24" s="9">
        <v>1567</v>
      </c>
      <c r="CM24" s="3" t="s">
        <v>11</v>
      </c>
      <c r="CN24" s="9">
        <v>1567</v>
      </c>
      <c r="CO24" s="3" t="s">
        <v>11</v>
      </c>
      <c r="CP24" s="9">
        <v>1567</v>
      </c>
      <c r="CQ24" s="3" t="s">
        <v>11</v>
      </c>
      <c r="CR24" s="9">
        <v>1567</v>
      </c>
      <c r="CS24" s="3" t="s">
        <v>11</v>
      </c>
      <c r="CT24" s="9">
        <v>1567</v>
      </c>
      <c r="CU24" s="3" t="s">
        <v>11</v>
      </c>
      <c r="CV24" s="9">
        <v>1567</v>
      </c>
      <c r="CW24" s="3" t="s">
        <v>11</v>
      </c>
      <c r="CX24" s="9">
        <v>1567</v>
      </c>
      <c r="CY24" s="3" t="s">
        <v>11</v>
      </c>
      <c r="CZ24" s="9">
        <v>1567</v>
      </c>
      <c r="DA24" s="3" t="s">
        <v>11</v>
      </c>
      <c r="DB24" s="9">
        <v>1567</v>
      </c>
      <c r="DC24" s="3" t="s">
        <v>11</v>
      </c>
      <c r="DD24" s="9">
        <v>1567</v>
      </c>
      <c r="DE24" s="3" t="s">
        <v>11</v>
      </c>
      <c r="DF24" s="9">
        <v>1567</v>
      </c>
      <c r="DG24" s="3" t="s">
        <v>11</v>
      </c>
      <c r="DH24" s="9">
        <v>1567</v>
      </c>
      <c r="DI24" s="3" t="s">
        <v>11</v>
      </c>
      <c r="DJ24" s="9">
        <v>1567</v>
      </c>
      <c r="DK24" s="3" t="s">
        <v>11</v>
      </c>
      <c r="DL24" s="9">
        <v>1567</v>
      </c>
      <c r="DM24" s="3" t="s">
        <v>11</v>
      </c>
      <c r="DN24" s="9">
        <v>1567</v>
      </c>
      <c r="DO24" s="3" t="s">
        <v>11</v>
      </c>
      <c r="DP24" s="9">
        <v>1567</v>
      </c>
      <c r="DQ24" s="3" t="s">
        <v>11</v>
      </c>
      <c r="DR24" s="9">
        <v>1567</v>
      </c>
      <c r="DS24" s="3" t="s">
        <v>11</v>
      </c>
      <c r="DT24" s="9">
        <v>1567</v>
      </c>
      <c r="DU24" s="3" t="s">
        <v>11</v>
      </c>
      <c r="DV24" s="9">
        <v>1567</v>
      </c>
      <c r="DW24" s="3" t="s">
        <v>11</v>
      </c>
      <c r="DX24" s="9">
        <v>1567</v>
      </c>
      <c r="DY24" s="3" t="s">
        <v>11</v>
      </c>
      <c r="DZ24" s="9">
        <v>1567</v>
      </c>
      <c r="EA24" s="3" t="s">
        <v>11</v>
      </c>
      <c r="EB24" s="9">
        <v>1567</v>
      </c>
      <c r="EC24" s="3" t="s">
        <v>11</v>
      </c>
      <c r="ED24" s="9">
        <v>1567</v>
      </c>
      <c r="EE24" s="3" t="s">
        <v>11</v>
      </c>
      <c r="EF24" s="9">
        <v>1567</v>
      </c>
      <c r="EG24" s="3" t="s">
        <v>11</v>
      </c>
      <c r="EH24" s="9">
        <v>1567</v>
      </c>
      <c r="EI24" s="3" t="s">
        <v>11</v>
      </c>
      <c r="EJ24" s="9">
        <v>1567</v>
      </c>
      <c r="EK24" s="3" t="s">
        <v>11</v>
      </c>
      <c r="EL24" s="9">
        <v>1567</v>
      </c>
      <c r="EM24" s="3" t="s">
        <v>11</v>
      </c>
      <c r="EN24" s="9">
        <v>1567</v>
      </c>
      <c r="EO24" s="3" t="s">
        <v>11</v>
      </c>
      <c r="EP24" s="9">
        <v>1567</v>
      </c>
      <c r="EQ24" s="3" t="s">
        <v>11</v>
      </c>
      <c r="ER24" s="9">
        <v>1567</v>
      </c>
      <c r="ES24" s="3" t="s">
        <v>11</v>
      </c>
      <c r="ET24" s="9">
        <v>1567</v>
      </c>
      <c r="EU24" s="3" t="s">
        <v>11</v>
      </c>
      <c r="EV24" s="9">
        <v>1567</v>
      </c>
      <c r="EW24" s="3" t="s">
        <v>11</v>
      </c>
      <c r="EX24" s="9">
        <v>1567</v>
      </c>
      <c r="EY24" s="3" t="s">
        <v>11</v>
      </c>
      <c r="EZ24" s="9">
        <v>1567</v>
      </c>
      <c r="FA24" s="3" t="s">
        <v>11</v>
      </c>
      <c r="FB24" s="9">
        <v>1567</v>
      </c>
      <c r="FC24" s="3" t="s">
        <v>11</v>
      </c>
      <c r="FD24" s="9">
        <v>1567</v>
      </c>
      <c r="FE24" s="3" t="s">
        <v>11</v>
      </c>
      <c r="FF24" s="9">
        <v>1567</v>
      </c>
      <c r="FG24" s="3" t="s">
        <v>11</v>
      </c>
      <c r="FH24" s="9">
        <v>1567</v>
      </c>
      <c r="FI24" s="3" t="s">
        <v>11</v>
      </c>
      <c r="FJ24" s="9">
        <v>1567</v>
      </c>
      <c r="FK24" s="3" t="s">
        <v>11</v>
      </c>
      <c r="FL24" s="9">
        <v>1567</v>
      </c>
      <c r="FM24" s="3" t="s">
        <v>11</v>
      </c>
      <c r="FN24" s="9">
        <v>1567</v>
      </c>
      <c r="FO24" s="3" t="s">
        <v>11</v>
      </c>
      <c r="FP24" s="9">
        <v>1567</v>
      </c>
      <c r="FQ24" s="3" t="s">
        <v>11</v>
      </c>
      <c r="FR24" s="9">
        <v>1567</v>
      </c>
      <c r="FS24" s="3" t="s">
        <v>11</v>
      </c>
      <c r="FT24" s="9">
        <v>1567</v>
      </c>
      <c r="FU24" s="3" t="s">
        <v>11</v>
      </c>
      <c r="FV24" s="9">
        <v>1567</v>
      </c>
      <c r="FW24" s="3" t="s">
        <v>11</v>
      </c>
      <c r="FX24" s="9">
        <v>1567</v>
      </c>
      <c r="FY24" s="3" t="s">
        <v>11</v>
      </c>
      <c r="FZ24" s="9">
        <v>1567</v>
      </c>
      <c r="GA24" s="3" t="s">
        <v>11</v>
      </c>
      <c r="GB24" s="9">
        <v>1567</v>
      </c>
      <c r="GC24" s="3" t="s">
        <v>11</v>
      </c>
      <c r="GD24" s="9">
        <v>1567</v>
      </c>
      <c r="GE24" s="3" t="s">
        <v>11</v>
      </c>
      <c r="GF24" s="9">
        <v>1567</v>
      </c>
      <c r="GG24" s="3" t="s">
        <v>11</v>
      </c>
      <c r="GH24" s="9">
        <v>1567</v>
      </c>
      <c r="GI24" s="3" t="s">
        <v>11</v>
      </c>
      <c r="GJ24" s="9">
        <v>1567</v>
      </c>
      <c r="GK24" s="3" t="s">
        <v>11</v>
      </c>
      <c r="GL24" s="9">
        <v>1567</v>
      </c>
      <c r="GM24" s="3" t="s">
        <v>11</v>
      </c>
      <c r="GN24" s="9">
        <v>1567</v>
      </c>
      <c r="GO24" s="3" t="s">
        <v>11</v>
      </c>
      <c r="GP24" s="9">
        <v>1567</v>
      </c>
      <c r="GQ24" s="3" t="s">
        <v>11</v>
      </c>
      <c r="GR24" s="9">
        <v>1567</v>
      </c>
      <c r="GS24" s="3" t="s">
        <v>11</v>
      </c>
      <c r="GT24" s="9">
        <v>1567</v>
      </c>
      <c r="GU24" s="3" t="s">
        <v>11</v>
      </c>
      <c r="GV24" s="9">
        <v>1567</v>
      </c>
      <c r="GW24" s="3" t="s">
        <v>11</v>
      </c>
      <c r="GX24" s="9">
        <v>1567</v>
      </c>
      <c r="GY24" s="3" t="s">
        <v>11</v>
      </c>
      <c r="GZ24" s="9">
        <v>1567</v>
      </c>
      <c r="HA24" s="3" t="s">
        <v>11</v>
      </c>
      <c r="HB24" s="9">
        <v>1567</v>
      </c>
      <c r="HC24" s="3" t="s">
        <v>11</v>
      </c>
      <c r="HD24" s="9">
        <v>1567</v>
      </c>
      <c r="HE24" s="3" t="s">
        <v>11</v>
      </c>
      <c r="HF24" s="9">
        <v>1567</v>
      </c>
      <c r="HG24" s="3" t="s">
        <v>11</v>
      </c>
      <c r="HH24" s="9">
        <v>1567</v>
      </c>
      <c r="HI24" s="3" t="s">
        <v>11</v>
      </c>
      <c r="HJ24" s="9">
        <v>1567</v>
      </c>
      <c r="HK24" s="3" t="s">
        <v>11</v>
      </c>
      <c r="HL24" s="9">
        <v>1567</v>
      </c>
      <c r="HM24" s="3" t="s">
        <v>11</v>
      </c>
      <c r="HN24" s="9">
        <v>1567</v>
      </c>
      <c r="HO24" s="3" t="s">
        <v>11</v>
      </c>
      <c r="HP24" s="9">
        <v>1567</v>
      </c>
      <c r="HQ24" s="3" t="s">
        <v>11</v>
      </c>
      <c r="HR24" s="9">
        <v>1567</v>
      </c>
      <c r="HS24" s="3" t="s">
        <v>11</v>
      </c>
      <c r="HT24" s="9">
        <v>1567</v>
      </c>
      <c r="HU24" s="3" t="s">
        <v>11</v>
      </c>
      <c r="HV24" s="9">
        <v>1567</v>
      </c>
      <c r="HW24" s="3" t="s">
        <v>11</v>
      </c>
      <c r="HX24" s="9">
        <v>1567</v>
      </c>
      <c r="HY24" s="3" t="s">
        <v>11</v>
      </c>
      <c r="HZ24" s="9">
        <v>1567</v>
      </c>
      <c r="IA24" s="3" t="s">
        <v>11</v>
      </c>
      <c r="IB24" s="9">
        <v>1567</v>
      </c>
      <c r="IC24" s="3" t="s">
        <v>11</v>
      </c>
      <c r="ID24" s="9">
        <v>1567</v>
      </c>
      <c r="IE24" s="3" t="s">
        <v>11</v>
      </c>
      <c r="IF24" s="9">
        <v>1567</v>
      </c>
      <c r="IG24" s="3" t="s">
        <v>11</v>
      </c>
      <c r="IH24" s="9">
        <v>1567</v>
      </c>
      <c r="II24" s="3" t="s">
        <v>11</v>
      </c>
      <c r="IJ24" s="9">
        <v>1567</v>
      </c>
      <c r="IK24" s="3" t="s">
        <v>11</v>
      </c>
      <c r="IL24" s="9">
        <v>1567</v>
      </c>
      <c r="IM24" s="3" t="s">
        <v>11</v>
      </c>
      <c r="IN24" s="9">
        <v>1567</v>
      </c>
      <c r="IO24" s="3" t="s">
        <v>11</v>
      </c>
      <c r="IP24" s="9">
        <v>1567</v>
      </c>
      <c r="IQ24" s="3" t="s">
        <v>11</v>
      </c>
      <c r="IR24" s="9">
        <v>1567</v>
      </c>
      <c r="IS24" s="3" t="s">
        <v>11</v>
      </c>
      <c r="IT24" s="9">
        <v>1567</v>
      </c>
      <c r="IU24" s="3" t="s">
        <v>11</v>
      </c>
      <c r="IV24" s="9">
        <v>1567</v>
      </c>
    </row>
    <row r="25" spans="1:256" ht="20.149999999999999" x14ac:dyDescent="0.5">
      <c r="A25" s="22" t="s">
        <v>14</v>
      </c>
      <c r="B25" s="24">
        <v>3772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6"/>
      <c r="AG25" s="5"/>
      <c r="AH25" s="6"/>
      <c r="AI25" s="5"/>
      <c r="AJ25" s="6"/>
      <c r="AK25" s="5"/>
      <c r="AL25" s="6">
        <f>SUM(AL21:AL24)</f>
        <v>8362.7000000000007</v>
      </c>
      <c r="AM25" s="5" t="s">
        <v>6</v>
      </c>
      <c r="AN25" s="6">
        <f>SUM(AN21:AN24)</f>
        <v>8362.7000000000007</v>
      </c>
      <c r="AO25" s="5" t="s">
        <v>6</v>
      </c>
      <c r="AP25" s="6">
        <f>SUM(AP21:AP24)</f>
        <v>8362.7000000000007</v>
      </c>
      <c r="AQ25" s="5" t="s">
        <v>6</v>
      </c>
      <c r="AR25" s="6">
        <f>SUM(AR21:AR24)</f>
        <v>8362.7000000000007</v>
      </c>
      <c r="AS25" s="5" t="s">
        <v>6</v>
      </c>
      <c r="AT25" s="6">
        <f>SUM(AT21:AT24)</f>
        <v>8362.7000000000007</v>
      </c>
      <c r="AU25" s="5" t="s">
        <v>6</v>
      </c>
      <c r="AV25" s="6">
        <f>SUM(AV21:AV24)</f>
        <v>8362.7000000000007</v>
      </c>
      <c r="AW25" s="5" t="s">
        <v>6</v>
      </c>
      <c r="AX25" s="6">
        <f>SUM(AX21:AX24)</f>
        <v>8362.7000000000007</v>
      </c>
      <c r="AY25" s="5" t="s">
        <v>6</v>
      </c>
      <c r="AZ25" s="6">
        <f>SUM(AZ21:AZ24)</f>
        <v>8362.7000000000007</v>
      </c>
      <c r="BA25" s="5" t="s">
        <v>6</v>
      </c>
      <c r="BB25" s="6">
        <f>SUM(BB21:BB24)</f>
        <v>8362.7000000000007</v>
      </c>
      <c r="BC25" s="5" t="s">
        <v>6</v>
      </c>
      <c r="BD25" s="6">
        <f>SUM(BD21:BD24)</f>
        <v>8362.7000000000007</v>
      </c>
      <c r="BE25" s="5" t="s">
        <v>6</v>
      </c>
      <c r="BF25" s="6">
        <f>SUM(BF21:BF24)</f>
        <v>8362.7000000000007</v>
      </c>
      <c r="BG25" s="5" t="s">
        <v>6</v>
      </c>
      <c r="BH25" s="6">
        <f>SUM(BH21:BH24)</f>
        <v>8362.7000000000007</v>
      </c>
      <c r="BI25" s="5" t="s">
        <v>6</v>
      </c>
      <c r="BJ25" s="6">
        <f>SUM(BJ21:BJ24)</f>
        <v>8362.7000000000007</v>
      </c>
      <c r="BK25" s="5" t="s">
        <v>6</v>
      </c>
      <c r="BL25" s="6">
        <f>SUM(BL21:BL24)</f>
        <v>8362.7000000000007</v>
      </c>
      <c r="BM25" s="5" t="s">
        <v>6</v>
      </c>
      <c r="BN25" s="6">
        <f>SUM(BN21:BN24)</f>
        <v>8362.7000000000007</v>
      </c>
      <c r="BO25" s="5" t="s">
        <v>6</v>
      </c>
      <c r="BP25" s="6">
        <f>SUM(BP21:BP24)</f>
        <v>8362.7000000000007</v>
      </c>
      <c r="BQ25" s="5" t="s">
        <v>6</v>
      </c>
      <c r="BR25" s="6">
        <f>SUM(BR21:BR24)</f>
        <v>8362.7000000000007</v>
      </c>
      <c r="BS25" s="5" t="s">
        <v>6</v>
      </c>
      <c r="BT25" s="6">
        <f>SUM(BT21:BT24)</f>
        <v>8362.7000000000007</v>
      </c>
      <c r="BU25" s="5" t="s">
        <v>6</v>
      </c>
      <c r="BV25" s="6">
        <f>SUM(BV21:BV24)</f>
        <v>8362.7000000000007</v>
      </c>
      <c r="BW25" s="5" t="s">
        <v>6</v>
      </c>
      <c r="BX25" s="6">
        <f>SUM(BX21:BX24)</f>
        <v>8362.7000000000007</v>
      </c>
      <c r="BY25" s="5" t="s">
        <v>6</v>
      </c>
      <c r="BZ25" s="6">
        <f>SUM(BZ21:BZ24)</f>
        <v>8362.7000000000007</v>
      </c>
      <c r="CA25" s="5" t="s">
        <v>6</v>
      </c>
      <c r="CB25" s="6">
        <f>SUM(CB21:CB24)</f>
        <v>8362.7000000000007</v>
      </c>
      <c r="CC25" s="5" t="s">
        <v>6</v>
      </c>
      <c r="CD25" s="6">
        <f>SUM(CD21:CD24)</f>
        <v>8362.7000000000007</v>
      </c>
      <c r="CE25" s="5" t="s">
        <v>6</v>
      </c>
      <c r="CF25" s="6">
        <f>SUM(CF21:CF24)</f>
        <v>8362.7000000000007</v>
      </c>
      <c r="CG25" s="5" t="s">
        <v>6</v>
      </c>
      <c r="CH25" s="6">
        <f>SUM(CH21:CH24)</f>
        <v>8362.7000000000007</v>
      </c>
      <c r="CI25" s="5" t="s">
        <v>6</v>
      </c>
      <c r="CJ25" s="6">
        <f>SUM(CJ21:CJ24)</f>
        <v>8362.7000000000007</v>
      </c>
      <c r="CK25" s="5" t="s">
        <v>6</v>
      </c>
      <c r="CL25" s="6">
        <f>SUM(CL21:CL24)</f>
        <v>8362.7000000000007</v>
      </c>
      <c r="CM25" s="5" t="s">
        <v>6</v>
      </c>
      <c r="CN25" s="6">
        <f>SUM(CN21:CN24)</f>
        <v>8362.7000000000007</v>
      </c>
      <c r="CO25" s="5" t="s">
        <v>6</v>
      </c>
      <c r="CP25" s="6">
        <f>SUM(CP21:CP24)</f>
        <v>8362.7000000000007</v>
      </c>
      <c r="CQ25" s="5" t="s">
        <v>6</v>
      </c>
      <c r="CR25" s="6">
        <f>SUM(CR21:CR24)</f>
        <v>8362.7000000000007</v>
      </c>
      <c r="CS25" s="5" t="s">
        <v>6</v>
      </c>
      <c r="CT25" s="6">
        <f>SUM(CT21:CT24)</f>
        <v>8362.7000000000007</v>
      </c>
      <c r="CU25" s="5" t="s">
        <v>6</v>
      </c>
      <c r="CV25" s="6">
        <f>SUM(CV21:CV24)</f>
        <v>8362.7000000000007</v>
      </c>
      <c r="CW25" s="5" t="s">
        <v>6</v>
      </c>
      <c r="CX25" s="6">
        <f>SUM(CX21:CX24)</f>
        <v>8362.7000000000007</v>
      </c>
      <c r="CY25" s="5" t="s">
        <v>6</v>
      </c>
      <c r="CZ25" s="6">
        <f>SUM(CZ21:CZ24)</f>
        <v>8362.7000000000007</v>
      </c>
      <c r="DA25" s="5" t="s">
        <v>6</v>
      </c>
      <c r="DB25" s="6">
        <f>SUM(DB21:DB24)</f>
        <v>8362.7000000000007</v>
      </c>
      <c r="DC25" s="5" t="s">
        <v>6</v>
      </c>
      <c r="DD25" s="6">
        <f>SUM(DD21:DD24)</f>
        <v>8362.7000000000007</v>
      </c>
      <c r="DE25" s="5" t="s">
        <v>6</v>
      </c>
      <c r="DF25" s="6">
        <f>SUM(DF21:DF24)</f>
        <v>8362.7000000000007</v>
      </c>
      <c r="DG25" s="5" t="s">
        <v>6</v>
      </c>
      <c r="DH25" s="6">
        <f>SUM(DH21:DH24)</f>
        <v>8362.7000000000007</v>
      </c>
      <c r="DI25" s="5" t="s">
        <v>6</v>
      </c>
      <c r="DJ25" s="6">
        <f>SUM(DJ21:DJ24)</f>
        <v>8362.7000000000007</v>
      </c>
      <c r="DK25" s="5" t="s">
        <v>6</v>
      </c>
      <c r="DL25" s="6">
        <f>SUM(DL21:DL24)</f>
        <v>8362.7000000000007</v>
      </c>
      <c r="DM25" s="5" t="s">
        <v>6</v>
      </c>
      <c r="DN25" s="6">
        <f>SUM(DN21:DN24)</f>
        <v>8362.7000000000007</v>
      </c>
      <c r="DO25" s="5" t="s">
        <v>6</v>
      </c>
      <c r="DP25" s="6">
        <f>SUM(DP21:DP24)</f>
        <v>8362.7000000000007</v>
      </c>
      <c r="DQ25" s="5" t="s">
        <v>6</v>
      </c>
      <c r="DR25" s="6">
        <f>SUM(DR21:DR24)</f>
        <v>8362.7000000000007</v>
      </c>
      <c r="DS25" s="5" t="s">
        <v>6</v>
      </c>
      <c r="DT25" s="6">
        <f>SUM(DT21:DT24)</f>
        <v>8362.7000000000007</v>
      </c>
      <c r="DU25" s="5" t="s">
        <v>6</v>
      </c>
      <c r="DV25" s="6">
        <f>SUM(DV21:DV24)</f>
        <v>8362.7000000000007</v>
      </c>
      <c r="DW25" s="5" t="s">
        <v>6</v>
      </c>
      <c r="DX25" s="6">
        <f>SUM(DX21:DX24)</f>
        <v>8362.7000000000007</v>
      </c>
      <c r="DY25" s="5" t="s">
        <v>6</v>
      </c>
      <c r="DZ25" s="6">
        <f>SUM(DZ21:DZ24)</f>
        <v>8362.7000000000007</v>
      </c>
      <c r="EA25" s="5" t="s">
        <v>6</v>
      </c>
      <c r="EB25" s="6">
        <f>SUM(EB21:EB24)</f>
        <v>8362.7000000000007</v>
      </c>
      <c r="EC25" s="5" t="s">
        <v>6</v>
      </c>
      <c r="ED25" s="6">
        <f>SUM(ED21:ED24)</f>
        <v>8362.7000000000007</v>
      </c>
      <c r="EE25" s="5" t="s">
        <v>6</v>
      </c>
      <c r="EF25" s="6">
        <f>SUM(EF21:EF24)</f>
        <v>8362.7000000000007</v>
      </c>
      <c r="EG25" s="5" t="s">
        <v>6</v>
      </c>
      <c r="EH25" s="6">
        <f>SUM(EH21:EH24)</f>
        <v>8362.7000000000007</v>
      </c>
      <c r="EI25" s="5" t="s">
        <v>6</v>
      </c>
      <c r="EJ25" s="6">
        <f>SUM(EJ21:EJ24)</f>
        <v>8362.7000000000007</v>
      </c>
      <c r="EK25" s="5" t="s">
        <v>6</v>
      </c>
      <c r="EL25" s="6">
        <f>SUM(EL21:EL24)</f>
        <v>8362.7000000000007</v>
      </c>
      <c r="EM25" s="5" t="s">
        <v>6</v>
      </c>
      <c r="EN25" s="6">
        <f>SUM(EN21:EN24)</f>
        <v>8362.7000000000007</v>
      </c>
      <c r="EO25" s="5" t="s">
        <v>6</v>
      </c>
      <c r="EP25" s="6">
        <f>SUM(EP21:EP24)</f>
        <v>8362.7000000000007</v>
      </c>
      <c r="EQ25" s="5" t="s">
        <v>6</v>
      </c>
      <c r="ER25" s="6">
        <f>SUM(ER21:ER24)</f>
        <v>8362.7000000000007</v>
      </c>
      <c r="ES25" s="5" t="s">
        <v>6</v>
      </c>
      <c r="ET25" s="6">
        <f>SUM(ET21:ET24)</f>
        <v>8362.7000000000007</v>
      </c>
      <c r="EU25" s="5" t="s">
        <v>6</v>
      </c>
      <c r="EV25" s="6">
        <f>SUM(EV21:EV24)</f>
        <v>8362.7000000000007</v>
      </c>
      <c r="EW25" s="5" t="s">
        <v>6</v>
      </c>
      <c r="EX25" s="6">
        <f>SUM(EX21:EX24)</f>
        <v>8362.7000000000007</v>
      </c>
      <c r="EY25" s="5" t="s">
        <v>6</v>
      </c>
      <c r="EZ25" s="6">
        <f>SUM(EZ21:EZ24)</f>
        <v>8362.7000000000007</v>
      </c>
      <c r="FA25" s="5" t="s">
        <v>6</v>
      </c>
      <c r="FB25" s="6">
        <f>SUM(FB21:FB24)</f>
        <v>8362.7000000000007</v>
      </c>
      <c r="FC25" s="5" t="s">
        <v>6</v>
      </c>
      <c r="FD25" s="6">
        <f>SUM(FD21:FD24)</f>
        <v>8362.7000000000007</v>
      </c>
      <c r="FE25" s="5" t="s">
        <v>6</v>
      </c>
      <c r="FF25" s="6">
        <f>SUM(FF21:FF24)</f>
        <v>8362.7000000000007</v>
      </c>
      <c r="FG25" s="5" t="s">
        <v>6</v>
      </c>
      <c r="FH25" s="6">
        <f>SUM(FH21:FH24)</f>
        <v>8362.7000000000007</v>
      </c>
      <c r="FI25" s="5" t="s">
        <v>6</v>
      </c>
      <c r="FJ25" s="6">
        <f>SUM(FJ21:FJ24)</f>
        <v>8362.7000000000007</v>
      </c>
      <c r="FK25" s="5" t="s">
        <v>6</v>
      </c>
      <c r="FL25" s="6">
        <f>SUM(FL21:FL24)</f>
        <v>8362.7000000000007</v>
      </c>
      <c r="FM25" s="5" t="s">
        <v>6</v>
      </c>
      <c r="FN25" s="6">
        <f>SUM(FN21:FN24)</f>
        <v>8362.7000000000007</v>
      </c>
      <c r="FO25" s="5" t="s">
        <v>6</v>
      </c>
      <c r="FP25" s="6">
        <f>SUM(FP21:FP24)</f>
        <v>8362.7000000000007</v>
      </c>
      <c r="FQ25" s="5" t="s">
        <v>6</v>
      </c>
      <c r="FR25" s="6">
        <f>SUM(FR21:FR24)</f>
        <v>8362.7000000000007</v>
      </c>
      <c r="FS25" s="5" t="s">
        <v>6</v>
      </c>
      <c r="FT25" s="6">
        <f>SUM(FT21:FT24)</f>
        <v>8362.7000000000007</v>
      </c>
      <c r="FU25" s="5" t="s">
        <v>6</v>
      </c>
      <c r="FV25" s="6">
        <f>SUM(FV21:FV24)</f>
        <v>8362.7000000000007</v>
      </c>
      <c r="FW25" s="5" t="s">
        <v>6</v>
      </c>
      <c r="FX25" s="6">
        <f>SUM(FX21:FX24)</f>
        <v>8362.7000000000007</v>
      </c>
      <c r="FY25" s="5" t="s">
        <v>6</v>
      </c>
      <c r="FZ25" s="6">
        <f>SUM(FZ21:FZ24)</f>
        <v>8362.7000000000007</v>
      </c>
      <c r="GA25" s="5" t="s">
        <v>6</v>
      </c>
      <c r="GB25" s="6">
        <f>SUM(GB21:GB24)</f>
        <v>8362.7000000000007</v>
      </c>
      <c r="GC25" s="5" t="s">
        <v>6</v>
      </c>
      <c r="GD25" s="6">
        <f>SUM(GD21:GD24)</f>
        <v>8362.7000000000007</v>
      </c>
      <c r="GE25" s="5" t="s">
        <v>6</v>
      </c>
      <c r="GF25" s="6">
        <f>SUM(GF21:GF24)</f>
        <v>8362.7000000000007</v>
      </c>
      <c r="GG25" s="5" t="s">
        <v>6</v>
      </c>
      <c r="GH25" s="6">
        <f>SUM(GH21:GH24)</f>
        <v>8362.7000000000007</v>
      </c>
      <c r="GI25" s="5" t="s">
        <v>6</v>
      </c>
      <c r="GJ25" s="6">
        <f>SUM(GJ21:GJ24)</f>
        <v>8362.7000000000007</v>
      </c>
      <c r="GK25" s="5" t="s">
        <v>6</v>
      </c>
      <c r="GL25" s="6">
        <f>SUM(GL21:GL24)</f>
        <v>8362.7000000000007</v>
      </c>
      <c r="GM25" s="5" t="s">
        <v>6</v>
      </c>
      <c r="GN25" s="6">
        <f>SUM(GN21:GN24)</f>
        <v>8362.7000000000007</v>
      </c>
      <c r="GO25" s="5" t="s">
        <v>6</v>
      </c>
      <c r="GP25" s="6">
        <f>SUM(GP21:GP24)</f>
        <v>8362.7000000000007</v>
      </c>
      <c r="GQ25" s="5" t="s">
        <v>6</v>
      </c>
      <c r="GR25" s="6">
        <f>SUM(GR21:GR24)</f>
        <v>8362.7000000000007</v>
      </c>
      <c r="GS25" s="5" t="s">
        <v>6</v>
      </c>
      <c r="GT25" s="6">
        <f>SUM(GT21:GT24)</f>
        <v>8362.7000000000007</v>
      </c>
      <c r="GU25" s="5" t="s">
        <v>6</v>
      </c>
      <c r="GV25" s="6">
        <f>SUM(GV21:GV24)</f>
        <v>8362.7000000000007</v>
      </c>
      <c r="GW25" s="5" t="s">
        <v>6</v>
      </c>
      <c r="GX25" s="6">
        <f>SUM(GX21:GX24)</f>
        <v>8362.7000000000007</v>
      </c>
      <c r="GY25" s="5" t="s">
        <v>6</v>
      </c>
      <c r="GZ25" s="6">
        <f>SUM(GZ21:GZ24)</f>
        <v>8362.7000000000007</v>
      </c>
      <c r="HA25" s="5" t="s">
        <v>6</v>
      </c>
      <c r="HB25" s="6">
        <f>SUM(HB21:HB24)</f>
        <v>8362.7000000000007</v>
      </c>
      <c r="HC25" s="5" t="s">
        <v>6</v>
      </c>
      <c r="HD25" s="6">
        <f>SUM(HD21:HD24)</f>
        <v>8362.7000000000007</v>
      </c>
      <c r="HE25" s="5" t="s">
        <v>6</v>
      </c>
      <c r="HF25" s="6">
        <f>SUM(HF21:HF24)</f>
        <v>8362.7000000000007</v>
      </c>
      <c r="HG25" s="5" t="s">
        <v>6</v>
      </c>
      <c r="HH25" s="6">
        <f>SUM(HH21:HH24)</f>
        <v>8362.7000000000007</v>
      </c>
      <c r="HI25" s="5" t="s">
        <v>6</v>
      </c>
      <c r="HJ25" s="6">
        <f>SUM(HJ21:HJ24)</f>
        <v>8362.7000000000007</v>
      </c>
      <c r="HK25" s="5" t="s">
        <v>6</v>
      </c>
      <c r="HL25" s="6">
        <f>SUM(HL21:HL24)</f>
        <v>8362.7000000000007</v>
      </c>
      <c r="HM25" s="5" t="s">
        <v>6</v>
      </c>
      <c r="HN25" s="6">
        <f>SUM(HN21:HN24)</f>
        <v>8362.7000000000007</v>
      </c>
      <c r="HO25" s="5" t="s">
        <v>6</v>
      </c>
      <c r="HP25" s="6">
        <f>SUM(HP21:HP24)</f>
        <v>8362.7000000000007</v>
      </c>
      <c r="HQ25" s="5" t="s">
        <v>6</v>
      </c>
      <c r="HR25" s="6">
        <f>SUM(HR21:HR24)</f>
        <v>8362.7000000000007</v>
      </c>
      <c r="HS25" s="5" t="s">
        <v>6</v>
      </c>
      <c r="HT25" s="6">
        <f>SUM(HT21:HT24)</f>
        <v>8362.7000000000007</v>
      </c>
      <c r="HU25" s="5" t="s">
        <v>6</v>
      </c>
      <c r="HV25" s="6">
        <f>SUM(HV21:HV24)</f>
        <v>8362.7000000000007</v>
      </c>
      <c r="HW25" s="5" t="s">
        <v>6</v>
      </c>
      <c r="HX25" s="6">
        <f>SUM(HX21:HX24)</f>
        <v>8362.7000000000007</v>
      </c>
      <c r="HY25" s="5" t="s">
        <v>6</v>
      </c>
      <c r="HZ25" s="6">
        <f>SUM(HZ21:HZ24)</f>
        <v>8362.7000000000007</v>
      </c>
      <c r="IA25" s="5" t="s">
        <v>6</v>
      </c>
      <c r="IB25" s="6">
        <f>SUM(IB21:IB24)</f>
        <v>8362.7000000000007</v>
      </c>
      <c r="IC25" s="5" t="s">
        <v>6</v>
      </c>
      <c r="ID25" s="6">
        <f>SUM(ID21:ID24)</f>
        <v>8362.7000000000007</v>
      </c>
      <c r="IE25" s="5" t="s">
        <v>6</v>
      </c>
      <c r="IF25" s="6">
        <f>SUM(IF21:IF24)</f>
        <v>8362.7000000000007</v>
      </c>
      <c r="IG25" s="5" t="s">
        <v>6</v>
      </c>
      <c r="IH25" s="6">
        <f>SUM(IH21:IH24)</f>
        <v>8362.7000000000007</v>
      </c>
      <c r="II25" s="5" t="s">
        <v>6</v>
      </c>
      <c r="IJ25" s="6">
        <f>SUM(IJ21:IJ24)</f>
        <v>8362.7000000000007</v>
      </c>
      <c r="IK25" s="5" t="s">
        <v>6</v>
      </c>
      <c r="IL25" s="6">
        <f>SUM(IL21:IL24)</f>
        <v>8362.7000000000007</v>
      </c>
      <c r="IM25" s="5" t="s">
        <v>6</v>
      </c>
      <c r="IN25" s="6">
        <f>SUM(IN21:IN24)</f>
        <v>8362.7000000000007</v>
      </c>
      <c r="IO25" s="5" t="s">
        <v>6</v>
      </c>
      <c r="IP25" s="6">
        <f>SUM(IP21:IP24)</f>
        <v>8362.7000000000007</v>
      </c>
      <c r="IQ25" s="5" t="s">
        <v>6</v>
      </c>
      <c r="IR25" s="6">
        <f>SUM(IR21:IR24)</f>
        <v>8362.7000000000007</v>
      </c>
      <c r="IS25" s="5" t="s">
        <v>6</v>
      </c>
      <c r="IT25" s="6">
        <f>SUM(IT21:IT24)</f>
        <v>8362.7000000000007</v>
      </c>
      <c r="IU25" s="5" t="s">
        <v>6</v>
      </c>
      <c r="IV25" s="6">
        <f>SUM(IV21:IV24)</f>
        <v>8362.7000000000007</v>
      </c>
    </row>
    <row r="26" spans="1:256" ht="17.600000000000001" x14ac:dyDescent="0.4">
      <c r="A26" s="22" t="s">
        <v>31</v>
      </c>
      <c r="B26" s="24">
        <v>1000</v>
      </c>
      <c r="C26" s="18"/>
      <c r="D26" s="19"/>
      <c r="E26" s="18"/>
      <c r="F26" s="19"/>
      <c r="G26" s="18"/>
      <c r="H26" s="19"/>
      <c r="I26" s="18"/>
      <c r="J26" s="19"/>
      <c r="K26" s="18"/>
      <c r="L26" s="19"/>
      <c r="M26" s="18"/>
      <c r="N26" s="19"/>
      <c r="O26" s="18"/>
      <c r="P26" s="19"/>
      <c r="Q26" s="18"/>
      <c r="R26" s="19"/>
      <c r="S26" s="18"/>
      <c r="T26" s="19"/>
      <c r="U26" s="18"/>
      <c r="V26" s="19"/>
      <c r="W26" s="18"/>
      <c r="X26" s="19"/>
      <c r="Y26" s="18"/>
      <c r="Z26" s="19"/>
      <c r="AA26" s="18"/>
      <c r="AB26" s="19"/>
      <c r="AC26" s="18"/>
      <c r="AD26" s="19"/>
      <c r="AE26" s="18"/>
      <c r="AF26" s="15"/>
      <c r="AG26" s="3"/>
      <c r="AH26" s="9"/>
      <c r="AI26" s="3"/>
      <c r="AJ26" s="9"/>
      <c r="AK26" s="3"/>
      <c r="AL26" s="9">
        <v>7562</v>
      </c>
      <c r="AM26" s="3" t="s">
        <v>12</v>
      </c>
      <c r="AN26" s="9">
        <v>7562</v>
      </c>
      <c r="AO26" s="3" t="s">
        <v>12</v>
      </c>
      <c r="AP26" s="9">
        <v>7562</v>
      </c>
      <c r="AQ26" s="3" t="s">
        <v>12</v>
      </c>
      <c r="AR26" s="9">
        <v>7562</v>
      </c>
      <c r="AS26" s="3" t="s">
        <v>12</v>
      </c>
      <c r="AT26" s="9">
        <v>7562</v>
      </c>
      <c r="AU26" s="3" t="s">
        <v>12</v>
      </c>
      <c r="AV26" s="9">
        <v>7562</v>
      </c>
      <c r="AW26" s="3" t="s">
        <v>12</v>
      </c>
      <c r="AX26" s="9">
        <v>7562</v>
      </c>
      <c r="AY26" s="3" t="s">
        <v>12</v>
      </c>
      <c r="AZ26" s="9">
        <v>7562</v>
      </c>
      <c r="BA26" s="3" t="s">
        <v>12</v>
      </c>
      <c r="BB26" s="9">
        <v>7562</v>
      </c>
      <c r="BC26" s="3" t="s">
        <v>12</v>
      </c>
      <c r="BD26" s="9">
        <v>7562</v>
      </c>
      <c r="BE26" s="3" t="s">
        <v>12</v>
      </c>
      <c r="BF26" s="9">
        <v>7562</v>
      </c>
      <c r="BG26" s="3" t="s">
        <v>12</v>
      </c>
      <c r="BH26" s="9">
        <v>7562</v>
      </c>
      <c r="BI26" s="3" t="s">
        <v>12</v>
      </c>
      <c r="BJ26" s="9">
        <v>7562</v>
      </c>
      <c r="BK26" s="3" t="s">
        <v>12</v>
      </c>
      <c r="BL26" s="9">
        <v>7562</v>
      </c>
      <c r="BM26" s="3" t="s">
        <v>12</v>
      </c>
      <c r="BN26" s="9">
        <v>7562</v>
      </c>
      <c r="BO26" s="3" t="s">
        <v>12</v>
      </c>
      <c r="BP26" s="9">
        <v>7562</v>
      </c>
      <c r="BQ26" s="3" t="s">
        <v>12</v>
      </c>
      <c r="BR26" s="9">
        <v>7562</v>
      </c>
      <c r="BS26" s="3" t="s">
        <v>12</v>
      </c>
      <c r="BT26" s="9">
        <v>7562</v>
      </c>
      <c r="BU26" s="3" t="s">
        <v>12</v>
      </c>
      <c r="BV26" s="9">
        <v>7562</v>
      </c>
      <c r="BW26" s="3" t="s">
        <v>12</v>
      </c>
      <c r="BX26" s="9">
        <v>7562</v>
      </c>
      <c r="BY26" s="3" t="s">
        <v>12</v>
      </c>
      <c r="BZ26" s="9">
        <v>7562</v>
      </c>
      <c r="CA26" s="3" t="s">
        <v>12</v>
      </c>
      <c r="CB26" s="9">
        <v>7562</v>
      </c>
      <c r="CC26" s="3" t="s">
        <v>12</v>
      </c>
      <c r="CD26" s="9">
        <v>7562</v>
      </c>
      <c r="CE26" s="3" t="s">
        <v>12</v>
      </c>
      <c r="CF26" s="9">
        <v>7562</v>
      </c>
      <c r="CG26" s="3" t="s">
        <v>12</v>
      </c>
      <c r="CH26" s="9">
        <v>7562</v>
      </c>
      <c r="CI26" s="3" t="s">
        <v>12</v>
      </c>
      <c r="CJ26" s="9">
        <v>7562</v>
      </c>
      <c r="CK26" s="3" t="s">
        <v>12</v>
      </c>
      <c r="CL26" s="9">
        <v>7562</v>
      </c>
      <c r="CM26" s="3" t="s">
        <v>12</v>
      </c>
      <c r="CN26" s="9">
        <v>7562</v>
      </c>
      <c r="CO26" s="3" t="s">
        <v>12</v>
      </c>
      <c r="CP26" s="9">
        <v>7562</v>
      </c>
      <c r="CQ26" s="3" t="s">
        <v>12</v>
      </c>
      <c r="CR26" s="9">
        <v>7562</v>
      </c>
      <c r="CS26" s="3" t="s">
        <v>12</v>
      </c>
      <c r="CT26" s="9">
        <v>7562</v>
      </c>
      <c r="CU26" s="3" t="s">
        <v>12</v>
      </c>
      <c r="CV26" s="9">
        <v>7562</v>
      </c>
      <c r="CW26" s="3" t="s">
        <v>12</v>
      </c>
      <c r="CX26" s="9">
        <v>7562</v>
      </c>
      <c r="CY26" s="3" t="s">
        <v>12</v>
      </c>
      <c r="CZ26" s="9">
        <v>7562</v>
      </c>
      <c r="DA26" s="3" t="s">
        <v>12</v>
      </c>
      <c r="DB26" s="9">
        <v>7562</v>
      </c>
      <c r="DC26" s="3" t="s">
        <v>12</v>
      </c>
      <c r="DD26" s="9">
        <v>7562</v>
      </c>
      <c r="DE26" s="3" t="s">
        <v>12</v>
      </c>
      <c r="DF26" s="9">
        <v>7562</v>
      </c>
      <c r="DG26" s="3" t="s">
        <v>12</v>
      </c>
      <c r="DH26" s="9">
        <v>7562</v>
      </c>
      <c r="DI26" s="3" t="s">
        <v>12</v>
      </c>
      <c r="DJ26" s="9">
        <v>7562</v>
      </c>
      <c r="DK26" s="3" t="s">
        <v>12</v>
      </c>
      <c r="DL26" s="9">
        <v>7562</v>
      </c>
      <c r="DM26" s="3" t="s">
        <v>12</v>
      </c>
      <c r="DN26" s="9">
        <v>7562</v>
      </c>
      <c r="DO26" s="3" t="s">
        <v>12</v>
      </c>
      <c r="DP26" s="9">
        <v>7562</v>
      </c>
      <c r="DQ26" s="3" t="s">
        <v>12</v>
      </c>
      <c r="DR26" s="9">
        <v>7562</v>
      </c>
      <c r="DS26" s="3" t="s">
        <v>12</v>
      </c>
      <c r="DT26" s="9">
        <v>7562</v>
      </c>
      <c r="DU26" s="3" t="s">
        <v>12</v>
      </c>
      <c r="DV26" s="9">
        <v>7562</v>
      </c>
      <c r="DW26" s="3" t="s">
        <v>12</v>
      </c>
      <c r="DX26" s="9">
        <v>7562</v>
      </c>
      <c r="DY26" s="3" t="s">
        <v>12</v>
      </c>
      <c r="DZ26" s="9">
        <v>7562</v>
      </c>
      <c r="EA26" s="3" t="s">
        <v>12</v>
      </c>
      <c r="EB26" s="9">
        <v>7562</v>
      </c>
      <c r="EC26" s="3" t="s">
        <v>12</v>
      </c>
      <c r="ED26" s="9">
        <v>7562</v>
      </c>
      <c r="EE26" s="3" t="s">
        <v>12</v>
      </c>
      <c r="EF26" s="9">
        <v>7562</v>
      </c>
      <c r="EG26" s="3" t="s">
        <v>12</v>
      </c>
      <c r="EH26" s="9">
        <v>7562</v>
      </c>
      <c r="EI26" s="3" t="s">
        <v>12</v>
      </c>
      <c r="EJ26" s="9">
        <v>7562</v>
      </c>
      <c r="EK26" s="3" t="s">
        <v>12</v>
      </c>
      <c r="EL26" s="9">
        <v>7562</v>
      </c>
      <c r="EM26" s="3" t="s">
        <v>12</v>
      </c>
      <c r="EN26" s="9">
        <v>7562</v>
      </c>
      <c r="EO26" s="3" t="s">
        <v>12</v>
      </c>
      <c r="EP26" s="9">
        <v>7562</v>
      </c>
      <c r="EQ26" s="3" t="s">
        <v>12</v>
      </c>
      <c r="ER26" s="9">
        <v>7562</v>
      </c>
      <c r="ES26" s="3" t="s">
        <v>12</v>
      </c>
      <c r="ET26" s="9">
        <v>7562</v>
      </c>
      <c r="EU26" s="3" t="s">
        <v>12</v>
      </c>
      <c r="EV26" s="9">
        <v>7562</v>
      </c>
      <c r="EW26" s="3" t="s">
        <v>12</v>
      </c>
      <c r="EX26" s="9">
        <v>7562</v>
      </c>
      <c r="EY26" s="3" t="s">
        <v>12</v>
      </c>
      <c r="EZ26" s="9">
        <v>7562</v>
      </c>
      <c r="FA26" s="3" t="s">
        <v>12</v>
      </c>
      <c r="FB26" s="9">
        <v>7562</v>
      </c>
      <c r="FC26" s="3" t="s">
        <v>12</v>
      </c>
      <c r="FD26" s="9">
        <v>7562</v>
      </c>
      <c r="FE26" s="3" t="s">
        <v>12</v>
      </c>
      <c r="FF26" s="9">
        <v>7562</v>
      </c>
      <c r="FG26" s="3" t="s">
        <v>12</v>
      </c>
      <c r="FH26" s="9">
        <v>7562</v>
      </c>
      <c r="FI26" s="3" t="s">
        <v>12</v>
      </c>
      <c r="FJ26" s="9">
        <v>7562</v>
      </c>
      <c r="FK26" s="3" t="s">
        <v>12</v>
      </c>
      <c r="FL26" s="9">
        <v>7562</v>
      </c>
      <c r="FM26" s="3" t="s">
        <v>12</v>
      </c>
      <c r="FN26" s="9">
        <v>7562</v>
      </c>
      <c r="FO26" s="3" t="s">
        <v>12</v>
      </c>
      <c r="FP26" s="9">
        <v>7562</v>
      </c>
      <c r="FQ26" s="3" t="s">
        <v>12</v>
      </c>
      <c r="FR26" s="9">
        <v>7562</v>
      </c>
      <c r="FS26" s="3" t="s">
        <v>12</v>
      </c>
      <c r="FT26" s="9">
        <v>7562</v>
      </c>
      <c r="FU26" s="3" t="s">
        <v>12</v>
      </c>
      <c r="FV26" s="9">
        <v>7562</v>
      </c>
      <c r="FW26" s="3" t="s">
        <v>12</v>
      </c>
      <c r="FX26" s="9">
        <v>7562</v>
      </c>
      <c r="FY26" s="3" t="s">
        <v>12</v>
      </c>
      <c r="FZ26" s="9">
        <v>7562</v>
      </c>
      <c r="GA26" s="3" t="s">
        <v>12</v>
      </c>
      <c r="GB26" s="9">
        <v>7562</v>
      </c>
      <c r="GC26" s="3" t="s">
        <v>12</v>
      </c>
      <c r="GD26" s="9">
        <v>7562</v>
      </c>
      <c r="GE26" s="3" t="s">
        <v>12</v>
      </c>
      <c r="GF26" s="9">
        <v>7562</v>
      </c>
      <c r="GG26" s="3" t="s">
        <v>12</v>
      </c>
      <c r="GH26" s="9">
        <v>7562</v>
      </c>
      <c r="GI26" s="3" t="s">
        <v>12</v>
      </c>
      <c r="GJ26" s="9">
        <v>7562</v>
      </c>
      <c r="GK26" s="3" t="s">
        <v>12</v>
      </c>
      <c r="GL26" s="9">
        <v>7562</v>
      </c>
      <c r="GM26" s="3" t="s">
        <v>12</v>
      </c>
      <c r="GN26" s="9">
        <v>7562</v>
      </c>
      <c r="GO26" s="3" t="s">
        <v>12</v>
      </c>
      <c r="GP26" s="9">
        <v>7562</v>
      </c>
      <c r="GQ26" s="3" t="s">
        <v>12</v>
      </c>
      <c r="GR26" s="9">
        <v>7562</v>
      </c>
      <c r="GS26" s="3" t="s">
        <v>12</v>
      </c>
      <c r="GT26" s="9">
        <v>7562</v>
      </c>
      <c r="GU26" s="3" t="s">
        <v>12</v>
      </c>
      <c r="GV26" s="9">
        <v>7562</v>
      </c>
      <c r="GW26" s="3" t="s">
        <v>12</v>
      </c>
      <c r="GX26" s="9">
        <v>7562</v>
      </c>
      <c r="GY26" s="3" t="s">
        <v>12</v>
      </c>
      <c r="GZ26" s="9">
        <v>7562</v>
      </c>
      <c r="HA26" s="3" t="s">
        <v>12</v>
      </c>
      <c r="HB26" s="9">
        <v>7562</v>
      </c>
      <c r="HC26" s="3" t="s">
        <v>12</v>
      </c>
      <c r="HD26" s="9">
        <v>7562</v>
      </c>
      <c r="HE26" s="3" t="s">
        <v>12</v>
      </c>
      <c r="HF26" s="9">
        <v>7562</v>
      </c>
      <c r="HG26" s="3" t="s">
        <v>12</v>
      </c>
      <c r="HH26" s="9">
        <v>7562</v>
      </c>
      <c r="HI26" s="3" t="s">
        <v>12</v>
      </c>
      <c r="HJ26" s="9">
        <v>7562</v>
      </c>
      <c r="HK26" s="3" t="s">
        <v>12</v>
      </c>
      <c r="HL26" s="9">
        <v>7562</v>
      </c>
      <c r="HM26" s="3" t="s">
        <v>12</v>
      </c>
      <c r="HN26" s="9">
        <v>7562</v>
      </c>
      <c r="HO26" s="3" t="s">
        <v>12</v>
      </c>
      <c r="HP26" s="9">
        <v>7562</v>
      </c>
      <c r="HQ26" s="3" t="s">
        <v>12</v>
      </c>
      <c r="HR26" s="9">
        <v>7562</v>
      </c>
      <c r="HS26" s="3" t="s">
        <v>12</v>
      </c>
      <c r="HT26" s="9">
        <v>7562</v>
      </c>
      <c r="HU26" s="3" t="s">
        <v>12</v>
      </c>
      <c r="HV26" s="9">
        <v>7562</v>
      </c>
      <c r="HW26" s="3" t="s">
        <v>12</v>
      </c>
      <c r="HX26" s="9">
        <v>7562</v>
      </c>
      <c r="HY26" s="3" t="s">
        <v>12</v>
      </c>
      <c r="HZ26" s="9">
        <v>7562</v>
      </c>
      <c r="IA26" s="3" t="s">
        <v>12</v>
      </c>
      <c r="IB26" s="9">
        <v>7562</v>
      </c>
      <c r="IC26" s="3" t="s">
        <v>12</v>
      </c>
      <c r="ID26" s="9">
        <v>7562</v>
      </c>
      <c r="IE26" s="3" t="s">
        <v>12</v>
      </c>
      <c r="IF26" s="9">
        <v>7562</v>
      </c>
      <c r="IG26" s="3" t="s">
        <v>12</v>
      </c>
      <c r="IH26" s="9">
        <v>7562</v>
      </c>
      <c r="II26" s="3" t="s">
        <v>12</v>
      </c>
      <c r="IJ26" s="9">
        <v>7562</v>
      </c>
      <c r="IK26" s="3" t="s">
        <v>12</v>
      </c>
      <c r="IL26" s="9">
        <v>7562</v>
      </c>
      <c r="IM26" s="3" t="s">
        <v>12</v>
      </c>
      <c r="IN26" s="9">
        <v>7562</v>
      </c>
      <c r="IO26" s="3" t="s">
        <v>12</v>
      </c>
      <c r="IP26" s="9">
        <v>7562</v>
      </c>
      <c r="IQ26" s="3" t="s">
        <v>12</v>
      </c>
      <c r="IR26" s="9">
        <v>7562</v>
      </c>
      <c r="IS26" s="3" t="s">
        <v>12</v>
      </c>
      <c r="IT26" s="9">
        <v>7562</v>
      </c>
      <c r="IU26" s="3" t="s">
        <v>12</v>
      </c>
      <c r="IV26" s="9">
        <v>7562</v>
      </c>
    </row>
    <row r="27" spans="1:256" ht="17.600000000000001" x14ac:dyDescent="0.4">
      <c r="A27" s="22" t="s">
        <v>15</v>
      </c>
      <c r="B27" s="24">
        <v>2886</v>
      </c>
      <c r="C27" s="18"/>
      <c r="D27" s="19"/>
      <c r="E27" s="18"/>
      <c r="F27" s="19"/>
      <c r="G27" s="18"/>
      <c r="H27" s="19"/>
      <c r="I27" s="25">
        <v>16657</v>
      </c>
      <c r="J27" s="19"/>
      <c r="K27" s="18"/>
      <c r="L27" s="19"/>
      <c r="M27" s="18"/>
      <c r="N27" s="19"/>
      <c r="O27" s="18"/>
      <c r="P27" s="19"/>
      <c r="Q27" s="18"/>
      <c r="R27" s="19"/>
      <c r="S27" s="18"/>
      <c r="T27" s="19"/>
      <c r="U27" s="18"/>
      <c r="V27" s="19"/>
      <c r="W27" s="18"/>
      <c r="X27" s="19"/>
      <c r="Y27" s="18"/>
      <c r="Z27" s="19"/>
      <c r="AA27" s="18"/>
      <c r="AB27" s="19"/>
      <c r="AC27" s="18"/>
      <c r="AD27" s="19"/>
      <c r="AE27" s="18"/>
      <c r="AF27" s="15"/>
      <c r="AG27" s="3"/>
      <c r="AH27" s="9"/>
      <c r="AI27" s="3"/>
      <c r="AJ27" s="9"/>
      <c r="AK27" s="3"/>
      <c r="AL27" s="9">
        <v>4430</v>
      </c>
      <c r="AM27" s="3" t="s">
        <v>13</v>
      </c>
      <c r="AN27" s="9">
        <v>4430</v>
      </c>
      <c r="AO27" s="3" t="s">
        <v>13</v>
      </c>
      <c r="AP27" s="9">
        <v>4430</v>
      </c>
      <c r="AQ27" s="3" t="s">
        <v>13</v>
      </c>
      <c r="AR27" s="9">
        <v>4430</v>
      </c>
      <c r="AS27" s="3" t="s">
        <v>13</v>
      </c>
      <c r="AT27" s="9">
        <v>4430</v>
      </c>
      <c r="AU27" s="3" t="s">
        <v>13</v>
      </c>
      <c r="AV27" s="9">
        <v>4430</v>
      </c>
      <c r="AW27" s="3" t="s">
        <v>13</v>
      </c>
      <c r="AX27" s="9">
        <v>4430</v>
      </c>
      <c r="AY27" s="3" t="s">
        <v>13</v>
      </c>
      <c r="AZ27" s="9">
        <v>4430</v>
      </c>
      <c r="BA27" s="3" t="s">
        <v>13</v>
      </c>
      <c r="BB27" s="9">
        <v>4430</v>
      </c>
      <c r="BC27" s="3" t="s">
        <v>13</v>
      </c>
      <c r="BD27" s="9">
        <v>4430</v>
      </c>
      <c r="BE27" s="3" t="s">
        <v>13</v>
      </c>
      <c r="BF27" s="9">
        <v>4430</v>
      </c>
      <c r="BG27" s="3" t="s">
        <v>13</v>
      </c>
      <c r="BH27" s="9">
        <v>4430</v>
      </c>
      <c r="BI27" s="3" t="s">
        <v>13</v>
      </c>
      <c r="BJ27" s="9">
        <v>4430</v>
      </c>
      <c r="BK27" s="3" t="s">
        <v>13</v>
      </c>
      <c r="BL27" s="9">
        <v>4430</v>
      </c>
      <c r="BM27" s="3" t="s">
        <v>13</v>
      </c>
      <c r="BN27" s="9">
        <v>4430</v>
      </c>
      <c r="BO27" s="3" t="s">
        <v>13</v>
      </c>
      <c r="BP27" s="9">
        <v>4430</v>
      </c>
      <c r="BQ27" s="3" t="s">
        <v>13</v>
      </c>
      <c r="BR27" s="9">
        <v>4430</v>
      </c>
      <c r="BS27" s="3" t="s">
        <v>13</v>
      </c>
      <c r="BT27" s="9">
        <v>4430</v>
      </c>
      <c r="BU27" s="3" t="s">
        <v>13</v>
      </c>
      <c r="BV27" s="9">
        <v>4430</v>
      </c>
      <c r="BW27" s="3" t="s">
        <v>13</v>
      </c>
      <c r="BX27" s="9">
        <v>4430</v>
      </c>
      <c r="BY27" s="3" t="s">
        <v>13</v>
      </c>
      <c r="BZ27" s="9">
        <v>4430</v>
      </c>
      <c r="CA27" s="3" t="s">
        <v>13</v>
      </c>
      <c r="CB27" s="9">
        <v>4430</v>
      </c>
      <c r="CC27" s="3" t="s">
        <v>13</v>
      </c>
      <c r="CD27" s="9">
        <v>4430</v>
      </c>
      <c r="CE27" s="3" t="s">
        <v>13</v>
      </c>
      <c r="CF27" s="9">
        <v>4430</v>
      </c>
      <c r="CG27" s="3" t="s">
        <v>13</v>
      </c>
      <c r="CH27" s="9">
        <v>4430</v>
      </c>
      <c r="CI27" s="3" t="s">
        <v>13</v>
      </c>
      <c r="CJ27" s="9">
        <v>4430</v>
      </c>
      <c r="CK27" s="3" t="s">
        <v>13</v>
      </c>
      <c r="CL27" s="9">
        <v>4430</v>
      </c>
      <c r="CM27" s="3" t="s">
        <v>13</v>
      </c>
      <c r="CN27" s="9">
        <v>4430</v>
      </c>
      <c r="CO27" s="3" t="s">
        <v>13</v>
      </c>
      <c r="CP27" s="9">
        <v>4430</v>
      </c>
      <c r="CQ27" s="3" t="s">
        <v>13</v>
      </c>
      <c r="CR27" s="9">
        <v>4430</v>
      </c>
      <c r="CS27" s="3" t="s">
        <v>13</v>
      </c>
      <c r="CT27" s="9">
        <v>4430</v>
      </c>
      <c r="CU27" s="3" t="s">
        <v>13</v>
      </c>
      <c r="CV27" s="9">
        <v>4430</v>
      </c>
      <c r="CW27" s="3" t="s">
        <v>13</v>
      </c>
      <c r="CX27" s="9">
        <v>4430</v>
      </c>
      <c r="CY27" s="3" t="s">
        <v>13</v>
      </c>
      <c r="CZ27" s="9">
        <v>4430</v>
      </c>
      <c r="DA27" s="3" t="s">
        <v>13</v>
      </c>
      <c r="DB27" s="9">
        <v>4430</v>
      </c>
      <c r="DC27" s="3" t="s">
        <v>13</v>
      </c>
      <c r="DD27" s="9">
        <v>4430</v>
      </c>
      <c r="DE27" s="3" t="s">
        <v>13</v>
      </c>
      <c r="DF27" s="9">
        <v>4430</v>
      </c>
      <c r="DG27" s="3" t="s">
        <v>13</v>
      </c>
      <c r="DH27" s="9">
        <v>4430</v>
      </c>
      <c r="DI27" s="3" t="s">
        <v>13</v>
      </c>
      <c r="DJ27" s="9">
        <v>4430</v>
      </c>
      <c r="DK27" s="3" t="s">
        <v>13</v>
      </c>
      <c r="DL27" s="9">
        <v>4430</v>
      </c>
      <c r="DM27" s="3" t="s">
        <v>13</v>
      </c>
      <c r="DN27" s="9">
        <v>4430</v>
      </c>
      <c r="DO27" s="3" t="s">
        <v>13</v>
      </c>
      <c r="DP27" s="9">
        <v>4430</v>
      </c>
      <c r="DQ27" s="3" t="s">
        <v>13</v>
      </c>
      <c r="DR27" s="9">
        <v>4430</v>
      </c>
      <c r="DS27" s="3" t="s">
        <v>13</v>
      </c>
      <c r="DT27" s="9">
        <v>4430</v>
      </c>
      <c r="DU27" s="3" t="s">
        <v>13</v>
      </c>
      <c r="DV27" s="9">
        <v>4430</v>
      </c>
      <c r="DW27" s="3" t="s">
        <v>13</v>
      </c>
      <c r="DX27" s="9">
        <v>4430</v>
      </c>
      <c r="DY27" s="3" t="s">
        <v>13</v>
      </c>
      <c r="DZ27" s="9">
        <v>4430</v>
      </c>
      <c r="EA27" s="3" t="s">
        <v>13</v>
      </c>
      <c r="EB27" s="9">
        <v>4430</v>
      </c>
      <c r="EC27" s="3" t="s">
        <v>13</v>
      </c>
      <c r="ED27" s="9">
        <v>4430</v>
      </c>
      <c r="EE27" s="3" t="s">
        <v>13</v>
      </c>
      <c r="EF27" s="9">
        <v>4430</v>
      </c>
      <c r="EG27" s="3" t="s">
        <v>13</v>
      </c>
      <c r="EH27" s="9">
        <v>4430</v>
      </c>
      <c r="EI27" s="3" t="s">
        <v>13</v>
      </c>
      <c r="EJ27" s="9">
        <v>4430</v>
      </c>
      <c r="EK27" s="3" t="s">
        <v>13</v>
      </c>
      <c r="EL27" s="9">
        <v>4430</v>
      </c>
      <c r="EM27" s="3" t="s">
        <v>13</v>
      </c>
      <c r="EN27" s="9">
        <v>4430</v>
      </c>
      <c r="EO27" s="3" t="s">
        <v>13</v>
      </c>
      <c r="EP27" s="9">
        <v>4430</v>
      </c>
      <c r="EQ27" s="3" t="s">
        <v>13</v>
      </c>
      <c r="ER27" s="9">
        <v>4430</v>
      </c>
      <c r="ES27" s="3" t="s">
        <v>13</v>
      </c>
      <c r="ET27" s="9">
        <v>4430</v>
      </c>
      <c r="EU27" s="3" t="s">
        <v>13</v>
      </c>
      <c r="EV27" s="9">
        <v>4430</v>
      </c>
      <c r="EW27" s="3" t="s">
        <v>13</v>
      </c>
      <c r="EX27" s="9">
        <v>4430</v>
      </c>
      <c r="EY27" s="3" t="s">
        <v>13</v>
      </c>
      <c r="EZ27" s="9">
        <v>4430</v>
      </c>
      <c r="FA27" s="3" t="s">
        <v>13</v>
      </c>
      <c r="FB27" s="9">
        <v>4430</v>
      </c>
      <c r="FC27" s="3" t="s">
        <v>13</v>
      </c>
      <c r="FD27" s="9">
        <v>4430</v>
      </c>
      <c r="FE27" s="3" t="s">
        <v>13</v>
      </c>
      <c r="FF27" s="9">
        <v>4430</v>
      </c>
      <c r="FG27" s="3" t="s">
        <v>13</v>
      </c>
      <c r="FH27" s="9">
        <v>4430</v>
      </c>
      <c r="FI27" s="3" t="s">
        <v>13</v>
      </c>
      <c r="FJ27" s="9">
        <v>4430</v>
      </c>
      <c r="FK27" s="3" t="s">
        <v>13</v>
      </c>
      <c r="FL27" s="9">
        <v>4430</v>
      </c>
      <c r="FM27" s="3" t="s">
        <v>13</v>
      </c>
      <c r="FN27" s="9">
        <v>4430</v>
      </c>
      <c r="FO27" s="3" t="s">
        <v>13</v>
      </c>
      <c r="FP27" s="9">
        <v>4430</v>
      </c>
      <c r="FQ27" s="3" t="s">
        <v>13</v>
      </c>
      <c r="FR27" s="9">
        <v>4430</v>
      </c>
      <c r="FS27" s="3" t="s">
        <v>13</v>
      </c>
      <c r="FT27" s="9">
        <v>4430</v>
      </c>
      <c r="FU27" s="3" t="s">
        <v>13</v>
      </c>
      <c r="FV27" s="9">
        <v>4430</v>
      </c>
      <c r="FW27" s="3" t="s">
        <v>13</v>
      </c>
      <c r="FX27" s="9">
        <v>4430</v>
      </c>
      <c r="FY27" s="3" t="s">
        <v>13</v>
      </c>
      <c r="FZ27" s="9">
        <v>4430</v>
      </c>
      <c r="GA27" s="3" t="s">
        <v>13</v>
      </c>
      <c r="GB27" s="9">
        <v>4430</v>
      </c>
      <c r="GC27" s="3" t="s">
        <v>13</v>
      </c>
      <c r="GD27" s="9">
        <v>4430</v>
      </c>
      <c r="GE27" s="3" t="s">
        <v>13</v>
      </c>
      <c r="GF27" s="9">
        <v>4430</v>
      </c>
      <c r="GG27" s="3" t="s">
        <v>13</v>
      </c>
      <c r="GH27" s="9">
        <v>4430</v>
      </c>
      <c r="GI27" s="3" t="s">
        <v>13</v>
      </c>
      <c r="GJ27" s="9">
        <v>4430</v>
      </c>
      <c r="GK27" s="3" t="s">
        <v>13</v>
      </c>
      <c r="GL27" s="9">
        <v>4430</v>
      </c>
      <c r="GM27" s="3" t="s">
        <v>13</v>
      </c>
      <c r="GN27" s="9">
        <v>4430</v>
      </c>
      <c r="GO27" s="3" t="s">
        <v>13</v>
      </c>
      <c r="GP27" s="9">
        <v>4430</v>
      </c>
      <c r="GQ27" s="3" t="s">
        <v>13</v>
      </c>
      <c r="GR27" s="9">
        <v>4430</v>
      </c>
      <c r="GS27" s="3" t="s">
        <v>13</v>
      </c>
      <c r="GT27" s="9">
        <v>4430</v>
      </c>
      <c r="GU27" s="3" t="s">
        <v>13</v>
      </c>
      <c r="GV27" s="9">
        <v>4430</v>
      </c>
      <c r="GW27" s="3" t="s">
        <v>13</v>
      </c>
      <c r="GX27" s="9">
        <v>4430</v>
      </c>
      <c r="GY27" s="3" t="s">
        <v>13</v>
      </c>
      <c r="GZ27" s="9">
        <v>4430</v>
      </c>
      <c r="HA27" s="3" t="s">
        <v>13</v>
      </c>
      <c r="HB27" s="9">
        <v>4430</v>
      </c>
      <c r="HC27" s="3" t="s">
        <v>13</v>
      </c>
      <c r="HD27" s="9">
        <v>4430</v>
      </c>
      <c r="HE27" s="3" t="s">
        <v>13</v>
      </c>
      <c r="HF27" s="9">
        <v>4430</v>
      </c>
      <c r="HG27" s="3" t="s">
        <v>13</v>
      </c>
      <c r="HH27" s="9">
        <v>4430</v>
      </c>
      <c r="HI27" s="3" t="s">
        <v>13</v>
      </c>
      <c r="HJ27" s="9">
        <v>4430</v>
      </c>
      <c r="HK27" s="3" t="s">
        <v>13</v>
      </c>
      <c r="HL27" s="9">
        <v>4430</v>
      </c>
      <c r="HM27" s="3" t="s">
        <v>13</v>
      </c>
      <c r="HN27" s="9">
        <v>4430</v>
      </c>
      <c r="HO27" s="3" t="s">
        <v>13</v>
      </c>
      <c r="HP27" s="9">
        <v>4430</v>
      </c>
      <c r="HQ27" s="3" t="s">
        <v>13</v>
      </c>
      <c r="HR27" s="9">
        <v>4430</v>
      </c>
      <c r="HS27" s="3" t="s">
        <v>13</v>
      </c>
      <c r="HT27" s="9">
        <v>4430</v>
      </c>
      <c r="HU27" s="3" t="s">
        <v>13</v>
      </c>
      <c r="HV27" s="9">
        <v>4430</v>
      </c>
      <c r="HW27" s="3" t="s">
        <v>13</v>
      </c>
      <c r="HX27" s="9">
        <v>4430</v>
      </c>
      <c r="HY27" s="3" t="s">
        <v>13</v>
      </c>
      <c r="HZ27" s="9">
        <v>4430</v>
      </c>
      <c r="IA27" s="3" t="s">
        <v>13</v>
      </c>
      <c r="IB27" s="9">
        <v>4430</v>
      </c>
      <c r="IC27" s="3" t="s">
        <v>13</v>
      </c>
      <c r="ID27" s="9">
        <v>4430</v>
      </c>
      <c r="IE27" s="3" t="s">
        <v>13</v>
      </c>
      <c r="IF27" s="9">
        <v>4430</v>
      </c>
      <c r="IG27" s="3" t="s">
        <v>13</v>
      </c>
      <c r="IH27" s="9">
        <v>4430</v>
      </c>
      <c r="II27" s="3" t="s">
        <v>13</v>
      </c>
      <c r="IJ27" s="9">
        <v>4430</v>
      </c>
      <c r="IK27" s="3" t="s">
        <v>13</v>
      </c>
      <c r="IL27" s="9">
        <v>4430</v>
      </c>
      <c r="IM27" s="3" t="s">
        <v>13</v>
      </c>
      <c r="IN27" s="9">
        <v>4430</v>
      </c>
      <c r="IO27" s="3" t="s">
        <v>13</v>
      </c>
      <c r="IP27" s="9">
        <v>4430</v>
      </c>
      <c r="IQ27" s="3" t="s">
        <v>13</v>
      </c>
      <c r="IR27" s="9">
        <v>4430</v>
      </c>
      <c r="IS27" s="3" t="s">
        <v>13</v>
      </c>
      <c r="IT27" s="9">
        <v>4430</v>
      </c>
      <c r="IU27" s="3" t="s">
        <v>13</v>
      </c>
      <c r="IV27" s="9">
        <v>4430</v>
      </c>
    </row>
    <row r="28" spans="1:256" ht="20.149999999999999" x14ac:dyDescent="0.5">
      <c r="A28" s="21" t="s">
        <v>6</v>
      </c>
      <c r="B28" s="21">
        <f>SUM(B24:B27)</f>
        <v>15978</v>
      </c>
      <c r="C28" s="18"/>
      <c r="D28" s="19"/>
      <c r="E28" s="18"/>
      <c r="F28" s="19"/>
      <c r="G28" s="18"/>
      <c r="H28" s="19"/>
      <c r="I28" s="25">
        <v>37856</v>
      </c>
      <c r="J28" s="19"/>
      <c r="K28" s="18"/>
      <c r="L28" s="19"/>
      <c r="M28" s="18"/>
      <c r="N28" s="19"/>
      <c r="O28" s="18"/>
      <c r="P28" s="19"/>
      <c r="Q28" s="18"/>
      <c r="R28" s="19"/>
      <c r="S28" s="18"/>
      <c r="T28" s="19"/>
      <c r="U28" s="18"/>
      <c r="V28" s="19"/>
      <c r="W28" s="18"/>
      <c r="X28" s="19"/>
      <c r="Y28" s="18"/>
      <c r="Z28" s="19"/>
      <c r="AA28" s="18"/>
      <c r="AB28" s="19"/>
      <c r="AC28" s="18"/>
      <c r="AD28" s="19"/>
      <c r="AE28" s="18"/>
      <c r="AF28" s="15"/>
      <c r="AG28" s="3"/>
      <c r="AH28" s="9"/>
      <c r="AI28" s="3"/>
      <c r="AJ28" s="9"/>
      <c r="AK28" s="3"/>
      <c r="AL28" s="9">
        <v>3429</v>
      </c>
      <c r="AM28" s="3" t="s">
        <v>14</v>
      </c>
      <c r="AN28" s="9">
        <v>3429</v>
      </c>
      <c r="AO28" s="3" t="s">
        <v>14</v>
      </c>
      <c r="AP28" s="9">
        <v>3429</v>
      </c>
      <c r="AQ28" s="3" t="s">
        <v>14</v>
      </c>
      <c r="AR28" s="9">
        <v>3429</v>
      </c>
      <c r="AS28" s="3" t="s">
        <v>14</v>
      </c>
      <c r="AT28" s="9">
        <v>3429</v>
      </c>
      <c r="AU28" s="3" t="s">
        <v>14</v>
      </c>
      <c r="AV28" s="9">
        <v>3429</v>
      </c>
      <c r="AW28" s="3" t="s">
        <v>14</v>
      </c>
      <c r="AX28" s="9">
        <v>3429</v>
      </c>
      <c r="AY28" s="3" t="s">
        <v>14</v>
      </c>
      <c r="AZ28" s="9">
        <v>3429</v>
      </c>
      <c r="BA28" s="3" t="s">
        <v>14</v>
      </c>
      <c r="BB28" s="9">
        <v>3429</v>
      </c>
      <c r="BC28" s="3" t="s">
        <v>14</v>
      </c>
      <c r="BD28" s="9">
        <v>3429</v>
      </c>
      <c r="BE28" s="3" t="s">
        <v>14</v>
      </c>
      <c r="BF28" s="9">
        <v>3429</v>
      </c>
      <c r="BG28" s="3" t="s">
        <v>14</v>
      </c>
      <c r="BH28" s="9">
        <v>3429</v>
      </c>
      <c r="BI28" s="3" t="s">
        <v>14</v>
      </c>
      <c r="BJ28" s="9">
        <v>3429</v>
      </c>
      <c r="BK28" s="3" t="s">
        <v>14</v>
      </c>
      <c r="BL28" s="9">
        <v>3429</v>
      </c>
      <c r="BM28" s="3" t="s">
        <v>14</v>
      </c>
      <c r="BN28" s="9">
        <v>3429</v>
      </c>
      <c r="BO28" s="3" t="s">
        <v>14</v>
      </c>
      <c r="BP28" s="9">
        <v>3429</v>
      </c>
      <c r="BQ28" s="3" t="s">
        <v>14</v>
      </c>
      <c r="BR28" s="9">
        <v>3429</v>
      </c>
      <c r="BS28" s="3" t="s">
        <v>14</v>
      </c>
      <c r="BT28" s="9">
        <v>3429</v>
      </c>
      <c r="BU28" s="3" t="s">
        <v>14</v>
      </c>
      <c r="BV28" s="9">
        <v>3429</v>
      </c>
      <c r="BW28" s="3" t="s">
        <v>14</v>
      </c>
      <c r="BX28" s="9">
        <v>3429</v>
      </c>
      <c r="BY28" s="3" t="s">
        <v>14</v>
      </c>
      <c r="BZ28" s="9">
        <v>3429</v>
      </c>
      <c r="CA28" s="3" t="s">
        <v>14</v>
      </c>
      <c r="CB28" s="9">
        <v>3429</v>
      </c>
      <c r="CC28" s="3" t="s">
        <v>14</v>
      </c>
      <c r="CD28" s="9">
        <v>3429</v>
      </c>
      <c r="CE28" s="3" t="s">
        <v>14</v>
      </c>
      <c r="CF28" s="9">
        <v>3429</v>
      </c>
      <c r="CG28" s="3" t="s">
        <v>14</v>
      </c>
      <c r="CH28" s="9">
        <v>3429</v>
      </c>
      <c r="CI28" s="3" t="s">
        <v>14</v>
      </c>
      <c r="CJ28" s="9">
        <v>3429</v>
      </c>
      <c r="CK28" s="3" t="s">
        <v>14</v>
      </c>
      <c r="CL28" s="9">
        <v>3429</v>
      </c>
      <c r="CM28" s="3" t="s">
        <v>14</v>
      </c>
      <c r="CN28" s="9">
        <v>3429</v>
      </c>
      <c r="CO28" s="3" t="s">
        <v>14</v>
      </c>
      <c r="CP28" s="9">
        <v>3429</v>
      </c>
      <c r="CQ28" s="3" t="s">
        <v>14</v>
      </c>
      <c r="CR28" s="9">
        <v>3429</v>
      </c>
      <c r="CS28" s="3" t="s">
        <v>14</v>
      </c>
      <c r="CT28" s="9">
        <v>3429</v>
      </c>
      <c r="CU28" s="3" t="s">
        <v>14</v>
      </c>
      <c r="CV28" s="9">
        <v>3429</v>
      </c>
      <c r="CW28" s="3" t="s">
        <v>14</v>
      </c>
      <c r="CX28" s="9">
        <v>3429</v>
      </c>
      <c r="CY28" s="3" t="s">
        <v>14</v>
      </c>
      <c r="CZ28" s="9">
        <v>3429</v>
      </c>
      <c r="DA28" s="3" t="s">
        <v>14</v>
      </c>
      <c r="DB28" s="9">
        <v>3429</v>
      </c>
      <c r="DC28" s="3" t="s">
        <v>14</v>
      </c>
      <c r="DD28" s="9">
        <v>3429</v>
      </c>
      <c r="DE28" s="3" t="s">
        <v>14</v>
      </c>
      <c r="DF28" s="9">
        <v>3429</v>
      </c>
      <c r="DG28" s="3" t="s">
        <v>14</v>
      </c>
      <c r="DH28" s="9">
        <v>3429</v>
      </c>
      <c r="DI28" s="3" t="s">
        <v>14</v>
      </c>
      <c r="DJ28" s="9">
        <v>3429</v>
      </c>
      <c r="DK28" s="3" t="s">
        <v>14</v>
      </c>
      <c r="DL28" s="9">
        <v>3429</v>
      </c>
      <c r="DM28" s="3" t="s">
        <v>14</v>
      </c>
      <c r="DN28" s="9">
        <v>3429</v>
      </c>
      <c r="DO28" s="3" t="s">
        <v>14</v>
      </c>
      <c r="DP28" s="9">
        <v>3429</v>
      </c>
      <c r="DQ28" s="3" t="s">
        <v>14</v>
      </c>
      <c r="DR28" s="9">
        <v>3429</v>
      </c>
      <c r="DS28" s="3" t="s">
        <v>14</v>
      </c>
      <c r="DT28" s="9">
        <v>3429</v>
      </c>
      <c r="DU28" s="3" t="s">
        <v>14</v>
      </c>
      <c r="DV28" s="9">
        <v>3429</v>
      </c>
      <c r="DW28" s="3" t="s">
        <v>14</v>
      </c>
      <c r="DX28" s="9">
        <v>3429</v>
      </c>
      <c r="DY28" s="3" t="s">
        <v>14</v>
      </c>
      <c r="DZ28" s="9">
        <v>3429</v>
      </c>
      <c r="EA28" s="3" t="s">
        <v>14</v>
      </c>
      <c r="EB28" s="9">
        <v>3429</v>
      </c>
      <c r="EC28" s="3" t="s">
        <v>14</v>
      </c>
      <c r="ED28" s="9">
        <v>3429</v>
      </c>
      <c r="EE28" s="3" t="s">
        <v>14</v>
      </c>
      <c r="EF28" s="9">
        <v>3429</v>
      </c>
      <c r="EG28" s="3" t="s">
        <v>14</v>
      </c>
      <c r="EH28" s="9">
        <v>3429</v>
      </c>
      <c r="EI28" s="3" t="s">
        <v>14</v>
      </c>
      <c r="EJ28" s="9">
        <v>3429</v>
      </c>
      <c r="EK28" s="3" t="s">
        <v>14</v>
      </c>
      <c r="EL28" s="9">
        <v>3429</v>
      </c>
      <c r="EM28" s="3" t="s">
        <v>14</v>
      </c>
      <c r="EN28" s="9">
        <v>3429</v>
      </c>
      <c r="EO28" s="3" t="s">
        <v>14</v>
      </c>
      <c r="EP28" s="9">
        <v>3429</v>
      </c>
      <c r="EQ28" s="3" t="s">
        <v>14</v>
      </c>
      <c r="ER28" s="9">
        <v>3429</v>
      </c>
      <c r="ES28" s="3" t="s">
        <v>14</v>
      </c>
      <c r="ET28" s="9">
        <v>3429</v>
      </c>
      <c r="EU28" s="3" t="s">
        <v>14</v>
      </c>
      <c r="EV28" s="9">
        <v>3429</v>
      </c>
      <c r="EW28" s="3" t="s">
        <v>14</v>
      </c>
      <c r="EX28" s="9">
        <v>3429</v>
      </c>
      <c r="EY28" s="3" t="s">
        <v>14</v>
      </c>
      <c r="EZ28" s="9">
        <v>3429</v>
      </c>
      <c r="FA28" s="3" t="s">
        <v>14</v>
      </c>
      <c r="FB28" s="9">
        <v>3429</v>
      </c>
      <c r="FC28" s="3" t="s">
        <v>14</v>
      </c>
      <c r="FD28" s="9">
        <v>3429</v>
      </c>
      <c r="FE28" s="3" t="s">
        <v>14</v>
      </c>
      <c r="FF28" s="9">
        <v>3429</v>
      </c>
      <c r="FG28" s="3" t="s">
        <v>14</v>
      </c>
      <c r="FH28" s="9">
        <v>3429</v>
      </c>
      <c r="FI28" s="3" t="s">
        <v>14</v>
      </c>
      <c r="FJ28" s="9">
        <v>3429</v>
      </c>
      <c r="FK28" s="3" t="s">
        <v>14</v>
      </c>
      <c r="FL28" s="9">
        <v>3429</v>
      </c>
      <c r="FM28" s="3" t="s">
        <v>14</v>
      </c>
      <c r="FN28" s="9">
        <v>3429</v>
      </c>
      <c r="FO28" s="3" t="s">
        <v>14</v>
      </c>
      <c r="FP28" s="9">
        <v>3429</v>
      </c>
      <c r="FQ28" s="3" t="s">
        <v>14</v>
      </c>
      <c r="FR28" s="9">
        <v>3429</v>
      </c>
      <c r="FS28" s="3" t="s">
        <v>14</v>
      </c>
      <c r="FT28" s="9">
        <v>3429</v>
      </c>
      <c r="FU28" s="3" t="s">
        <v>14</v>
      </c>
      <c r="FV28" s="9">
        <v>3429</v>
      </c>
      <c r="FW28" s="3" t="s">
        <v>14</v>
      </c>
      <c r="FX28" s="9">
        <v>3429</v>
      </c>
      <c r="FY28" s="3" t="s">
        <v>14</v>
      </c>
      <c r="FZ28" s="9">
        <v>3429</v>
      </c>
      <c r="GA28" s="3" t="s">
        <v>14</v>
      </c>
      <c r="GB28" s="9">
        <v>3429</v>
      </c>
      <c r="GC28" s="3" t="s">
        <v>14</v>
      </c>
      <c r="GD28" s="9">
        <v>3429</v>
      </c>
      <c r="GE28" s="3" t="s">
        <v>14</v>
      </c>
      <c r="GF28" s="9">
        <v>3429</v>
      </c>
      <c r="GG28" s="3" t="s">
        <v>14</v>
      </c>
      <c r="GH28" s="9">
        <v>3429</v>
      </c>
      <c r="GI28" s="3" t="s">
        <v>14</v>
      </c>
      <c r="GJ28" s="9">
        <v>3429</v>
      </c>
      <c r="GK28" s="3" t="s">
        <v>14</v>
      </c>
      <c r="GL28" s="9">
        <v>3429</v>
      </c>
      <c r="GM28" s="3" t="s">
        <v>14</v>
      </c>
      <c r="GN28" s="9">
        <v>3429</v>
      </c>
      <c r="GO28" s="3" t="s">
        <v>14</v>
      </c>
      <c r="GP28" s="9">
        <v>3429</v>
      </c>
      <c r="GQ28" s="3" t="s">
        <v>14</v>
      </c>
      <c r="GR28" s="9">
        <v>3429</v>
      </c>
      <c r="GS28" s="3" t="s">
        <v>14</v>
      </c>
      <c r="GT28" s="9">
        <v>3429</v>
      </c>
      <c r="GU28" s="3" t="s">
        <v>14</v>
      </c>
      <c r="GV28" s="9">
        <v>3429</v>
      </c>
      <c r="GW28" s="3" t="s">
        <v>14</v>
      </c>
      <c r="GX28" s="9">
        <v>3429</v>
      </c>
      <c r="GY28" s="3" t="s">
        <v>14</v>
      </c>
      <c r="GZ28" s="9">
        <v>3429</v>
      </c>
      <c r="HA28" s="3" t="s">
        <v>14</v>
      </c>
      <c r="HB28" s="9">
        <v>3429</v>
      </c>
      <c r="HC28" s="3" t="s">
        <v>14</v>
      </c>
      <c r="HD28" s="9">
        <v>3429</v>
      </c>
      <c r="HE28" s="3" t="s">
        <v>14</v>
      </c>
      <c r="HF28" s="9">
        <v>3429</v>
      </c>
      <c r="HG28" s="3" t="s">
        <v>14</v>
      </c>
      <c r="HH28" s="9">
        <v>3429</v>
      </c>
      <c r="HI28" s="3" t="s">
        <v>14</v>
      </c>
      <c r="HJ28" s="9">
        <v>3429</v>
      </c>
      <c r="HK28" s="3" t="s">
        <v>14</v>
      </c>
      <c r="HL28" s="9">
        <v>3429</v>
      </c>
      <c r="HM28" s="3" t="s">
        <v>14</v>
      </c>
      <c r="HN28" s="9">
        <v>3429</v>
      </c>
      <c r="HO28" s="3" t="s">
        <v>14</v>
      </c>
      <c r="HP28" s="9">
        <v>3429</v>
      </c>
      <c r="HQ28" s="3" t="s">
        <v>14</v>
      </c>
      <c r="HR28" s="9">
        <v>3429</v>
      </c>
      <c r="HS28" s="3" t="s">
        <v>14</v>
      </c>
      <c r="HT28" s="9">
        <v>3429</v>
      </c>
      <c r="HU28" s="3" t="s">
        <v>14</v>
      </c>
      <c r="HV28" s="9">
        <v>3429</v>
      </c>
      <c r="HW28" s="3" t="s">
        <v>14</v>
      </c>
      <c r="HX28" s="9">
        <v>3429</v>
      </c>
      <c r="HY28" s="3" t="s">
        <v>14</v>
      </c>
      <c r="HZ28" s="9">
        <v>3429</v>
      </c>
      <c r="IA28" s="3" t="s">
        <v>14</v>
      </c>
      <c r="IB28" s="9">
        <v>3429</v>
      </c>
      <c r="IC28" s="3" t="s">
        <v>14</v>
      </c>
      <c r="ID28" s="9">
        <v>3429</v>
      </c>
      <c r="IE28" s="3" t="s">
        <v>14</v>
      </c>
      <c r="IF28" s="9">
        <v>3429</v>
      </c>
      <c r="IG28" s="3" t="s">
        <v>14</v>
      </c>
      <c r="IH28" s="9">
        <v>3429</v>
      </c>
      <c r="II28" s="3" t="s">
        <v>14</v>
      </c>
      <c r="IJ28" s="9">
        <v>3429</v>
      </c>
      <c r="IK28" s="3" t="s">
        <v>14</v>
      </c>
      <c r="IL28" s="9">
        <v>3429</v>
      </c>
      <c r="IM28" s="3" t="s">
        <v>14</v>
      </c>
      <c r="IN28" s="9">
        <v>3429</v>
      </c>
      <c r="IO28" s="3" t="s">
        <v>14</v>
      </c>
      <c r="IP28" s="9">
        <v>3429</v>
      </c>
      <c r="IQ28" s="3" t="s">
        <v>14</v>
      </c>
      <c r="IR28" s="9">
        <v>3429</v>
      </c>
      <c r="IS28" s="3" t="s">
        <v>14</v>
      </c>
      <c r="IT28" s="9">
        <v>3429</v>
      </c>
      <c r="IU28" s="3" t="s">
        <v>14</v>
      </c>
      <c r="IV28" s="9">
        <v>3429</v>
      </c>
    </row>
    <row r="29" spans="1:256" ht="17.600000000000001" x14ac:dyDescent="0.4">
      <c r="A29" s="22" t="s">
        <v>16</v>
      </c>
      <c r="B29" s="24">
        <v>1500</v>
      </c>
      <c r="C29" s="18"/>
      <c r="D29" s="19"/>
      <c r="E29" s="18"/>
      <c r="F29" s="19"/>
      <c r="G29" s="18"/>
      <c r="H29" s="19"/>
      <c r="I29" s="25">
        <v>2800</v>
      </c>
      <c r="J29" s="19"/>
      <c r="K29" s="18"/>
      <c r="L29" s="19"/>
      <c r="M29" s="18"/>
      <c r="N29" s="19"/>
      <c r="O29" s="18"/>
      <c r="P29" s="19"/>
      <c r="Q29" s="18"/>
      <c r="R29" s="19"/>
      <c r="S29" s="18"/>
      <c r="T29" s="19"/>
      <c r="U29" s="18"/>
      <c r="V29" s="19"/>
      <c r="W29" s="18"/>
      <c r="X29" s="19"/>
      <c r="Y29" s="18"/>
      <c r="Z29" s="19"/>
      <c r="AA29" s="18"/>
      <c r="AB29" s="19"/>
      <c r="AC29" s="18"/>
      <c r="AD29" s="19"/>
      <c r="AE29" s="18"/>
      <c r="AF29" s="15"/>
      <c r="AG29" s="3"/>
      <c r="AH29" s="9"/>
      <c r="AI29" s="3"/>
      <c r="AJ29" s="9"/>
      <c r="AK29" s="3"/>
      <c r="AL29" s="9">
        <v>2648</v>
      </c>
      <c r="AM29" s="3" t="s">
        <v>15</v>
      </c>
      <c r="AN29" s="9">
        <v>2648</v>
      </c>
      <c r="AO29" s="3" t="s">
        <v>15</v>
      </c>
      <c r="AP29" s="9">
        <v>2648</v>
      </c>
      <c r="AQ29" s="3" t="s">
        <v>15</v>
      </c>
      <c r="AR29" s="9">
        <v>2648</v>
      </c>
      <c r="AS29" s="3" t="s">
        <v>15</v>
      </c>
      <c r="AT29" s="9">
        <v>2648</v>
      </c>
      <c r="AU29" s="3" t="s">
        <v>15</v>
      </c>
      <c r="AV29" s="9">
        <v>2648</v>
      </c>
      <c r="AW29" s="3" t="s">
        <v>15</v>
      </c>
      <c r="AX29" s="9">
        <v>2648</v>
      </c>
      <c r="AY29" s="3" t="s">
        <v>15</v>
      </c>
      <c r="AZ29" s="9">
        <v>2648</v>
      </c>
      <c r="BA29" s="3" t="s">
        <v>15</v>
      </c>
      <c r="BB29" s="9">
        <v>2648</v>
      </c>
      <c r="BC29" s="3" t="s">
        <v>15</v>
      </c>
      <c r="BD29" s="9">
        <v>2648</v>
      </c>
      <c r="BE29" s="3" t="s">
        <v>15</v>
      </c>
      <c r="BF29" s="9">
        <v>2648</v>
      </c>
      <c r="BG29" s="3" t="s">
        <v>15</v>
      </c>
      <c r="BH29" s="9">
        <v>2648</v>
      </c>
      <c r="BI29" s="3" t="s">
        <v>15</v>
      </c>
      <c r="BJ29" s="9">
        <v>2648</v>
      </c>
      <c r="BK29" s="3" t="s">
        <v>15</v>
      </c>
      <c r="BL29" s="9">
        <v>2648</v>
      </c>
      <c r="BM29" s="3" t="s">
        <v>15</v>
      </c>
      <c r="BN29" s="9">
        <v>2648</v>
      </c>
      <c r="BO29" s="3" t="s">
        <v>15</v>
      </c>
      <c r="BP29" s="9">
        <v>2648</v>
      </c>
      <c r="BQ29" s="3" t="s">
        <v>15</v>
      </c>
      <c r="BR29" s="9">
        <v>2648</v>
      </c>
      <c r="BS29" s="3" t="s">
        <v>15</v>
      </c>
      <c r="BT29" s="9">
        <v>2648</v>
      </c>
      <c r="BU29" s="3" t="s">
        <v>15</v>
      </c>
      <c r="BV29" s="9">
        <v>2648</v>
      </c>
      <c r="BW29" s="3" t="s">
        <v>15</v>
      </c>
      <c r="BX29" s="9">
        <v>2648</v>
      </c>
      <c r="BY29" s="3" t="s">
        <v>15</v>
      </c>
      <c r="BZ29" s="9">
        <v>2648</v>
      </c>
      <c r="CA29" s="3" t="s">
        <v>15</v>
      </c>
      <c r="CB29" s="9">
        <v>2648</v>
      </c>
      <c r="CC29" s="3" t="s">
        <v>15</v>
      </c>
      <c r="CD29" s="9">
        <v>2648</v>
      </c>
      <c r="CE29" s="3" t="s">
        <v>15</v>
      </c>
      <c r="CF29" s="9">
        <v>2648</v>
      </c>
      <c r="CG29" s="3" t="s">
        <v>15</v>
      </c>
      <c r="CH29" s="9">
        <v>2648</v>
      </c>
      <c r="CI29" s="3" t="s">
        <v>15</v>
      </c>
      <c r="CJ29" s="9">
        <v>2648</v>
      </c>
      <c r="CK29" s="3" t="s">
        <v>15</v>
      </c>
      <c r="CL29" s="9">
        <v>2648</v>
      </c>
      <c r="CM29" s="3" t="s">
        <v>15</v>
      </c>
      <c r="CN29" s="9">
        <v>2648</v>
      </c>
      <c r="CO29" s="3" t="s">
        <v>15</v>
      </c>
      <c r="CP29" s="9">
        <v>2648</v>
      </c>
      <c r="CQ29" s="3" t="s">
        <v>15</v>
      </c>
      <c r="CR29" s="9">
        <v>2648</v>
      </c>
      <c r="CS29" s="3" t="s">
        <v>15</v>
      </c>
      <c r="CT29" s="9">
        <v>2648</v>
      </c>
      <c r="CU29" s="3" t="s">
        <v>15</v>
      </c>
      <c r="CV29" s="9">
        <v>2648</v>
      </c>
      <c r="CW29" s="3" t="s">
        <v>15</v>
      </c>
      <c r="CX29" s="9">
        <v>2648</v>
      </c>
      <c r="CY29" s="3" t="s">
        <v>15</v>
      </c>
      <c r="CZ29" s="9">
        <v>2648</v>
      </c>
      <c r="DA29" s="3" t="s">
        <v>15</v>
      </c>
      <c r="DB29" s="9">
        <v>2648</v>
      </c>
      <c r="DC29" s="3" t="s">
        <v>15</v>
      </c>
      <c r="DD29" s="9">
        <v>2648</v>
      </c>
      <c r="DE29" s="3" t="s">
        <v>15</v>
      </c>
      <c r="DF29" s="9">
        <v>2648</v>
      </c>
      <c r="DG29" s="3" t="s">
        <v>15</v>
      </c>
      <c r="DH29" s="9">
        <v>2648</v>
      </c>
      <c r="DI29" s="3" t="s">
        <v>15</v>
      </c>
      <c r="DJ29" s="9">
        <v>2648</v>
      </c>
      <c r="DK29" s="3" t="s">
        <v>15</v>
      </c>
      <c r="DL29" s="9">
        <v>2648</v>
      </c>
      <c r="DM29" s="3" t="s">
        <v>15</v>
      </c>
      <c r="DN29" s="9">
        <v>2648</v>
      </c>
      <c r="DO29" s="3" t="s">
        <v>15</v>
      </c>
      <c r="DP29" s="9">
        <v>2648</v>
      </c>
      <c r="DQ29" s="3" t="s">
        <v>15</v>
      </c>
      <c r="DR29" s="9">
        <v>2648</v>
      </c>
      <c r="DS29" s="3" t="s">
        <v>15</v>
      </c>
      <c r="DT29" s="9">
        <v>2648</v>
      </c>
      <c r="DU29" s="3" t="s">
        <v>15</v>
      </c>
      <c r="DV29" s="9">
        <v>2648</v>
      </c>
      <c r="DW29" s="3" t="s">
        <v>15</v>
      </c>
      <c r="DX29" s="9">
        <v>2648</v>
      </c>
      <c r="DY29" s="3" t="s">
        <v>15</v>
      </c>
      <c r="DZ29" s="9">
        <v>2648</v>
      </c>
      <c r="EA29" s="3" t="s">
        <v>15</v>
      </c>
      <c r="EB29" s="9">
        <v>2648</v>
      </c>
      <c r="EC29" s="3" t="s">
        <v>15</v>
      </c>
      <c r="ED29" s="9">
        <v>2648</v>
      </c>
      <c r="EE29" s="3" t="s">
        <v>15</v>
      </c>
      <c r="EF29" s="9">
        <v>2648</v>
      </c>
      <c r="EG29" s="3" t="s">
        <v>15</v>
      </c>
      <c r="EH29" s="9">
        <v>2648</v>
      </c>
      <c r="EI29" s="3" t="s">
        <v>15</v>
      </c>
      <c r="EJ29" s="9">
        <v>2648</v>
      </c>
      <c r="EK29" s="3" t="s">
        <v>15</v>
      </c>
      <c r="EL29" s="9">
        <v>2648</v>
      </c>
      <c r="EM29" s="3" t="s">
        <v>15</v>
      </c>
      <c r="EN29" s="9">
        <v>2648</v>
      </c>
      <c r="EO29" s="3" t="s">
        <v>15</v>
      </c>
      <c r="EP29" s="9">
        <v>2648</v>
      </c>
      <c r="EQ29" s="3" t="s">
        <v>15</v>
      </c>
      <c r="ER29" s="9">
        <v>2648</v>
      </c>
      <c r="ES29" s="3" t="s">
        <v>15</v>
      </c>
      <c r="ET29" s="9">
        <v>2648</v>
      </c>
      <c r="EU29" s="3" t="s">
        <v>15</v>
      </c>
      <c r="EV29" s="9">
        <v>2648</v>
      </c>
      <c r="EW29" s="3" t="s">
        <v>15</v>
      </c>
      <c r="EX29" s="9">
        <v>2648</v>
      </c>
      <c r="EY29" s="3" t="s">
        <v>15</v>
      </c>
      <c r="EZ29" s="9">
        <v>2648</v>
      </c>
      <c r="FA29" s="3" t="s">
        <v>15</v>
      </c>
      <c r="FB29" s="9">
        <v>2648</v>
      </c>
      <c r="FC29" s="3" t="s">
        <v>15</v>
      </c>
      <c r="FD29" s="9">
        <v>2648</v>
      </c>
      <c r="FE29" s="3" t="s">
        <v>15</v>
      </c>
      <c r="FF29" s="9">
        <v>2648</v>
      </c>
      <c r="FG29" s="3" t="s">
        <v>15</v>
      </c>
      <c r="FH29" s="9">
        <v>2648</v>
      </c>
      <c r="FI29" s="3" t="s">
        <v>15</v>
      </c>
      <c r="FJ29" s="9">
        <v>2648</v>
      </c>
      <c r="FK29" s="3" t="s">
        <v>15</v>
      </c>
      <c r="FL29" s="9">
        <v>2648</v>
      </c>
      <c r="FM29" s="3" t="s">
        <v>15</v>
      </c>
      <c r="FN29" s="9">
        <v>2648</v>
      </c>
      <c r="FO29" s="3" t="s">
        <v>15</v>
      </c>
      <c r="FP29" s="9">
        <v>2648</v>
      </c>
      <c r="FQ29" s="3" t="s">
        <v>15</v>
      </c>
      <c r="FR29" s="9">
        <v>2648</v>
      </c>
      <c r="FS29" s="3" t="s">
        <v>15</v>
      </c>
      <c r="FT29" s="9">
        <v>2648</v>
      </c>
      <c r="FU29" s="3" t="s">
        <v>15</v>
      </c>
      <c r="FV29" s="9">
        <v>2648</v>
      </c>
      <c r="FW29" s="3" t="s">
        <v>15</v>
      </c>
      <c r="FX29" s="9">
        <v>2648</v>
      </c>
      <c r="FY29" s="3" t="s">
        <v>15</v>
      </c>
      <c r="FZ29" s="9">
        <v>2648</v>
      </c>
      <c r="GA29" s="3" t="s">
        <v>15</v>
      </c>
      <c r="GB29" s="9">
        <v>2648</v>
      </c>
      <c r="GC29" s="3" t="s">
        <v>15</v>
      </c>
      <c r="GD29" s="9">
        <v>2648</v>
      </c>
      <c r="GE29" s="3" t="s">
        <v>15</v>
      </c>
      <c r="GF29" s="9">
        <v>2648</v>
      </c>
      <c r="GG29" s="3" t="s">
        <v>15</v>
      </c>
      <c r="GH29" s="9">
        <v>2648</v>
      </c>
      <c r="GI29" s="3" t="s">
        <v>15</v>
      </c>
      <c r="GJ29" s="9">
        <v>2648</v>
      </c>
      <c r="GK29" s="3" t="s">
        <v>15</v>
      </c>
      <c r="GL29" s="9">
        <v>2648</v>
      </c>
      <c r="GM29" s="3" t="s">
        <v>15</v>
      </c>
      <c r="GN29" s="9">
        <v>2648</v>
      </c>
      <c r="GO29" s="3" t="s">
        <v>15</v>
      </c>
      <c r="GP29" s="9">
        <v>2648</v>
      </c>
      <c r="GQ29" s="3" t="s">
        <v>15</v>
      </c>
      <c r="GR29" s="9">
        <v>2648</v>
      </c>
      <c r="GS29" s="3" t="s">
        <v>15</v>
      </c>
      <c r="GT29" s="9">
        <v>2648</v>
      </c>
      <c r="GU29" s="3" t="s">
        <v>15</v>
      </c>
      <c r="GV29" s="9">
        <v>2648</v>
      </c>
      <c r="GW29" s="3" t="s">
        <v>15</v>
      </c>
      <c r="GX29" s="9">
        <v>2648</v>
      </c>
      <c r="GY29" s="3" t="s">
        <v>15</v>
      </c>
      <c r="GZ29" s="9">
        <v>2648</v>
      </c>
      <c r="HA29" s="3" t="s">
        <v>15</v>
      </c>
      <c r="HB29" s="9">
        <v>2648</v>
      </c>
      <c r="HC29" s="3" t="s">
        <v>15</v>
      </c>
      <c r="HD29" s="9">
        <v>2648</v>
      </c>
      <c r="HE29" s="3" t="s">
        <v>15</v>
      </c>
      <c r="HF29" s="9">
        <v>2648</v>
      </c>
      <c r="HG29" s="3" t="s">
        <v>15</v>
      </c>
      <c r="HH29" s="9">
        <v>2648</v>
      </c>
      <c r="HI29" s="3" t="s">
        <v>15</v>
      </c>
      <c r="HJ29" s="9">
        <v>2648</v>
      </c>
      <c r="HK29" s="3" t="s">
        <v>15</v>
      </c>
      <c r="HL29" s="9">
        <v>2648</v>
      </c>
      <c r="HM29" s="3" t="s">
        <v>15</v>
      </c>
      <c r="HN29" s="9">
        <v>2648</v>
      </c>
      <c r="HO29" s="3" t="s">
        <v>15</v>
      </c>
      <c r="HP29" s="9">
        <v>2648</v>
      </c>
      <c r="HQ29" s="3" t="s">
        <v>15</v>
      </c>
      <c r="HR29" s="9">
        <v>2648</v>
      </c>
      <c r="HS29" s="3" t="s">
        <v>15</v>
      </c>
      <c r="HT29" s="9">
        <v>2648</v>
      </c>
      <c r="HU29" s="3" t="s">
        <v>15</v>
      </c>
      <c r="HV29" s="9">
        <v>2648</v>
      </c>
      <c r="HW29" s="3" t="s">
        <v>15</v>
      </c>
      <c r="HX29" s="9">
        <v>2648</v>
      </c>
      <c r="HY29" s="3" t="s">
        <v>15</v>
      </c>
      <c r="HZ29" s="9">
        <v>2648</v>
      </c>
      <c r="IA29" s="3" t="s">
        <v>15</v>
      </c>
      <c r="IB29" s="9">
        <v>2648</v>
      </c>
      <c r="IC29" s="3" t="s">
        <v>15</v>
      </c>
      <c r="ID29" s="9">
        <v>2648</v>
      </c>
      <c r="IE29" s="3" t="s">
        <v>15</v>
      </c>
      <c r="IF29" s="9">
        <v>2648</v>
      </c>
      <c r="IG29" s="3" t="s">
        <v>15</v>
      </c>
      <c r="IH29" s="9">
        <v>2648</v>
      </c>
      <c r="II29" s="3" t="s">
        <v>15</v>
      </c>
      <c r="IJ29" s="9">
        <v>2648</v>
      </c>
      <c r="IK29" s="3" t="s">
        <v>15</v>
      </c>
      <c r="IL29" s="9">
        <v>2648</v>
      </c>
      <c r="IM29" s="3" t="s">
        <v>15</v>
      </c>
      <c r="IN29" s="9">
        <v>2648</v>
      </c>
      <c r="IO29" s="3" t="s">
        <v>15</v>
      </c>
      <c r="IP29" s="9">
        <v>2648</v>
      </c>
      <c r="IQ29" s="3" t="s">
        <v>15</v>
      </c>
      <c r="IR29" s="9">
        <v>2648</v>
      </c>
      <c r="IS29" s="3" t="s">
        <v>15</v>
      </c>
      <c r="IT29" s="9">
        <v>2648</v>
      </c>
      <c r="IU29" s="3" t="s">
        <v>15</v>
      </c>
      <c r="IV29" s="9">
        <v>2648</v>
      </c>
    </row>
    <row r="30" spans="1:256" ht="17.600000000000001" x14ac:dyDescent="0.4">
      <c r="A30" s="22" t="s">
        <v>17</v>
      </c>
      <c r="B30" s="24">
        <v>250</v>
      </c>
      <c r="C30" s="18"/>
      <c r="D30" s="19"/>
      <c r="E30" s="18"/>
      <c r="F30" s="19"/>
      <c r="G30" s="18"/>
      <c r="H30" s="19"/>
      <c r="I30" s="25">
        <f>SUM(I27:I29)</f>
        <v>57313</v>
      </c>
      <c r="J30" s="19"/>
      <c r="K30" s="18"/>
      <c r="L30" s="19"/>
      <c r="M30" s="18"/>
      <c r="N30" s="19"/>
      <c r="O30" s="18"/>
      <c r="P30" s="19"/>
      <c r="Q30" s="18"/>
      <c r="R30" s="19"/>
      <c r="S30" s="18"/>
      <c r="T30" s="19"/>
      <c r="U30" s="18"/>
      <c r="V30" s="19"/>
      <c r="W30" s="18"/>
      <c r="X30" s="19"/>
      <c r="Y30" s="18"/>
      <c r="Z30" s="19"/>
      <c r="AA30" s="18"/>
      <c r="AB30" s="19"/>
      <c r="AC30" s="18"/>
      <c r="AD30" s="19"/>
      <c r="AE30" s="18"/>
      <c r="AF30" s="15"/>
      <c r="AG30" s="3"/>
      <c r="AH30" s="9"/>
      <c r="AI30" s="3"/>
      <c r="AJ30" s="9"/>
      <c r="AK30" s="3"/>
      <c r="AL30" s="9"/>
      <c r="AM30" s="3"/>
      <c r="AN30" s="9"/>
      <c r="AO30" s="3"/>
      <c r="AP30" s="9"/>
      <c r="AQ30" s="3"/>
      <c r="AR30" s="9"/>
      <c r="AS30" s="3"/>
      <c r="AT30" s="9"/>
      <c r="AU30" s="3"/>
      <c r="AV30" s="9"/>
      <c r="AW30" s="3"/>
      <c r="AX30" s="9"/>
      <c r="AY30" s="3"/>
      <c r="AZ30" s="9"/>
      <c r="BA30" s="3"/>
      <c r="BB30" s="9"/>
      <c r="BC30" s="3"/>
      <c r="BD30" s="9"/>
      <c r="BE30" s="3"/>
      <c r="BF30" s="9"/>
      <c r="BG30" s="3"/>
      <c r="BH30" s="9"/>
      <c r="BI30" s="3"/>
      <c r="BJ30" s="9"/>
      <c r="BK30" s="3"/>
      <c r="BL30" s="9"/>
      <c r="BM30" s="3"/>
      <c r="BN30" s="9"/>
      <c r="BO30" s="3"/>
      <c r="BP30" s="9"/>
      <c r="BQ30" s="3"/>
      <c r="BR30" s="9"/>
      <c r="BS30" s="3"/>
      <c r="BT30" s="9"/>
      <c r="BU30" s="3"/>
      <c r="BV30" s="9"/>
      <c r="BW30" s="3"/>
      <c r="BX30" s="9"/>
      <c r="BY30" s="3"/>
      <c r="BZ30" s="9"/>
      <c r="CA30" s="3"/>
      <c r="CB30" s="9"/>
      <c r="CC30" s="3"/>
      <c r="CD30" s="9"/>
      <c r="CE30" s="3"/>
      <c r="CF30" s="9"/>
      <c r="CG30" s="3"/>
      <c r="CH30" s="9"/>
      <c r="CI30" s="3"/>
      <c r="CJ30" s="9"/>
      <c r="CK30" s="3"/>
      <c r="CL30" s="9"/>
      <c r="CM30" s="3"/>
      <c r="CN30" s="9"/>
      <c r="CO30" s="3"/>
      <c r="CP30" s="9"/>
      <c r="CQ30" s="3"/>
      <c r="CR30" s="9"/>
      <c r="CS30" s="3"/>
      <c r="CT30" s="9"/>
      <c r="CU30" s="3"/>
      <c r="CV30" s="9"/>
      <c r="CW30" s="3"/>
      <c r="CX30" s="9"/>
      <c r="CY30" s="3"/>
      <c r="CZ30" s="9"/>
      <c r="DA30" s="3"/>
      <c r="DB30" s="9"/>
      <c r="DC30" s="3"/>
      <c r="DD30" s="9"/>
      <c r="DE30" s="3"/>
      <c r="DF30" s="9"/>
      <c r="DG30" s="3"/>
      <c r="DH30" s="9"/>
      <c r="DI30" s="3"/>
      <c r="DJ30" s="9"/>
      <c r="DK30" s="3"/>
      <c r="DL30" s="9"/>
      <c r="DM30" s="3"/>
      <c r="DN30" s="9"/>
      <c r="DO30" s="3"/>
      <c r="DP30" s="9"/>
      <c r="DQ30" s="3"/>
      <c r="DR30" s="9"/>
      <c r="DS30" s="3"/>
      <c r="DT30" s="9"/>
      <c r="DU30" s="3"/>
      <c r="DV30" s="9"/>
      <c r="DW30" s="3"/>
      <c r="DX30" s="9"/>
      <c r="DY30" s="3"/>
      <c r="DZ30" s="9"/>
      <c r="EA30" s="3"/>
      <c r="EB30" s="9"/>
      <c r="EC30" s="3"/>
      <c r="ED30" s="9"/>
      <c r="EE30" s="3"/>
      <c r="EF30" s="9"/>
      <c r="EG30" s="3"/>
      <c r="EH30" s="9"/>
      <c r="EI30" s="3"/>
      <c r="EJ30" s="9"/>
      <c r="EK30" s="3"/>
      <c r="EL30" s="9"/>
      <c r="EM30" s="3"/>
      <c r="EN30" s="9"/>
      <c r="EO30" s="3"/>
      <c r="EP30" s="9"/>
      <c r="EQ30" s="3"/>
      <c r="ER30" s="9"/>
      <c r="ES30" s="3"/>
      <c r="ET30" s="9"/>
      <c r="EU30" s="3"/>
      <c r="EV30" s="9"/>
      <c r="EW30" s="3"/>
      <c r="EX30" s="9"/>
      <c r="EY30" s="3"/>
      <c r="EZ30" s="9"/>
      <c r="FA30" s="3"/>
      <c r="FB30" s="9"/>
      <c r="FC30" s="3"/>
      <c r="FD30" s="9"/>
      <c r="FE30" s="3"/>
      <c r="FF30" s="9"/>
      <c r="FG30" s="3"/>
      <c r="FH30" s="9"/>
      <c r="FI30" s="3"/>
      <c r="FJ30" s="9"/>
      <c r="FK30" s="3"/>
      <c r="FL30" s="9"/>
      <c r="FM30" s="3"/>
      <c r="FN30" s="9"/>
      <c r="FO30" s="3"/>
      <c r="FP30" s="9"/>
      <c r="FQ30" s="3"/>
      <c r="FR30" s="9"/>
      <c r="FS30" s="3"/>
      <c r="FT30" s="9"/>
      <c r="FU30" s="3"/>
      <c r="FV30" s="9"/>
      <c r="FW30" s="3"/>
      <c r="FX30" s="9"/>
      <c r="FY30" s="3"/>
      <c r="FZ30" s="9"/>
      <c r="GA30" s="3"/>
      <c r="GB30" s="9"/>
      <c r="GC30" s="3"/>
      <c r="GD30" s="9"/>
      <c r="GE30" s="3"/>
      <c r="GF30" s="9"/>
      <c r="GG30" s="3"/>
      <c r="GH30" s="9"/>
      <c r="GI30" s="3"/>
      <c r="GJ30" s="9"/>
      <c r="GK30" s="3"/>
      <c r="GL30" s="9"/>
      <c r="GM30" s="3"/>
      <c r="GN30" s="9"/>
      <c r="GO30" s="3"/>
      <c r="GP30" s="9"/>
      <c r="GQ30" s="3"/>
      <c r="GR30" s="9"/>
      <c r="GS30" s="3"/>
      <c r="GT30" s="9"/>
      <c r="GU30" s="3"/>
      <c r="GV30" s="9"/>
      <c r="GW30" s="3"/>
      <c r="GX30" s="9"/>
      <c r="GY30" s="3"/>
      <c r="GZ30" s="9"/>
      <c r="HA30" s="3"/>
      <c r="HB30" s="9"/>
      <c r="HC30" s="3"/>
      <c r="HD30" s="9"/>
      <c r="HE30" s="3"/>
      <c r="HF30" s="9"/>
      <c r="HG30" s="3"/>
      <c r="HH30" s="9"/>
      <c r="HI30" s="3"/>
      <c r="HJ30" s="9"/>
      <c r="HK30" s="3"/>
      <c r="HL30" s="9"/>
      <c r="HM30" s="3"/>
      <c r="HN30" s="9"/>
      <c r="HO30" s="3"/>
      <c r="HP30" s="9"/>
      <c r="HQ30" s="3"/>
      <c r="HR30" s="9"/>
      <c r="HS30" s="3"/>
      <c r="HT30" s="9"/>
      <c r="HU30" s="3"/>
      <c r="HV30" s="9"/>
      <c r="HW30" s="3"/>
      <c r="HX30" s="9"/>
      <c r="HY30" s="3"/>
      <c r="HZ30" s="9"/>
      <c r="IA30" s="3"/>
      <c r="IB30" s="9"/>
      <c r="IC30" s="3"/>
      <c r="ID30" s="9"/>
      <c r="IE30" s="3"/>
      <c r="IF30" s="9"/>
      <c r="IG30" s="3"/>
      <c r="IH30" s="9"/>
      <c r="II30" s="3"/>
      <c r="IJ30" s="9"/>
      <c r="IK30" s="3"/>
      <c r="IL30" s="9"/>
      <c r="IM30" s="3"/>
      <c r="IN30" s="9"/>
      <c r="IO30" s="3"/>
      <c r="IP30" s="9"/>
      <c r="IQ30" s="3"/>
      <c r="IR30" s="9"/>
      <c r="IS30" s="3"/>
      <c r="IT30" s="9"/>
      <c r="IU30" s="3"/>
      <c r="IV30" s="9"/>
    </row>
    <row r="31" spans="1:256" ht="20.149999999999999" x14ac:dyDescent="0.5">
      <c r="A31" s="22" t="s">
        <v>18</v>
      </c>
      <c r="B31" s="24">
        <v>250</v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6"/>
      <c r="AG31" s="5"/>
      <c r="AH31" s="6"/>
      <c r="AI31" s="5"/>
      <c r="AJ31" s="6"/>
      <c r="AK31" s="5"/>
      <c r="AL31" s="6">
        <f>SUM(AL26:AL29)</f>
        <v>18069</v>
      </c>
      <c r="AM31" s="5" t="s">
        <v>6</v>
      </c>
      <c r="AN31" s="6">
        <f>SUM(AN26:AN29)</f>
        <v>18069</v>
      </c>
      <c r="AO31" s="5" t="s">
        <v>6</v>
      </c>
      <c r="AP31" s="6">
        <f>SUM(AP26:AP29)</f>
        <v>18069</v>
      </c>
      <c r="AQ31" s="5" t="s">
        <v>6</v>
      </c>
      <c r="AR31" s="6">
        <f>SUM(AR26:AR29)</f>
        <v>18069</v>
      </c>
      <c r="AS31" s="5" t="s">
        <v>6</v>
      </c>
      <c r="AT31" s="6">
        <f>SUM(AT26:AT29)</f>
        <v>18069</v>
      </c>
      <c r="AU31" s="5" t="s">
        <v>6</v>
      </c>
      <c r="AV31" s="6">
        <f>SUM(AV26:AV29)</f>
        <v>18069</v>
      </c>
      <c r="AW31" s="5" t="s">
        <v>6</v>
      </c>
      <c r="AX31" s="6">
        <f>SUM(AX26:AX29)</f>
        <v>18069</v>
      </c>
      <c r="AY31" s="5" t="s">
        <v>6</v>
      </c>
      <c r="AZ31" s="6">
        <f>SUM(AZ26:AZ29)</f>
        <v>18069</v>
      </c>
      <c r="BA31" s="5" t="s">
        <v>6</v>
      </c>
      <c r="BB31" s="6">
        <f>SUM(BB26:BB29)</f>
        <v>18069</v>
      </c>
      <c r="BC31" s="5" t="s">
        <v>6</v>
      </c>
      <c r="BD31" s="6">
        <f>SUM(BD26:BD29)</f>
        <v>18069</v>
      </c>
      <c r="BE31" s="5" t="s">
        <v>6</v>
      </c>
      <c r="BF31" s="6">
        <f>SUM(BF26:BF29)</f>
        <v>18069</v>
      </c>
      <c r="BG31" s="5" t="s">
        <v>6</v>
      </c>
      <c r="BH31" s="6">
        <f>SUM(BH26:BH29)</f>
        <v>18069</v>
      </c>
      <c r="BI31" s="5" t="s">
        <v>6</v>
      </c>
      <c r="BJ31" s="6">
        <f>SUM(BJ26:BJ29)</f>
        <v>18069</v>
      </c>
      <c r="BK31" s="5" t="s">
        <v>6</v>
      </c>
      <c r="BL31" s="6">
        <f>SUM(BL26:BL29)</f>
        <v>18069</v>
      </c>
      <c r="BM31" s="5" t="s">
        <v>6</v>
      </c>
      <c r="BN31" s="6">
        <f>SUM(BN26:BN29)</f>
        <v>18069</v>
      </c>
      <c r="BO31" s="5" t="s">
        <v>6</v>
      </c>
      <c r="BP31" s="6">
        <f>SUM(BP26:BP29)</f>
        <v>18069</v>
      </c>
      <c r="BQ31" s="5" t="s">
        <v>6</v>
      </c>
      <c r="BR31" s="6">
        <f>SUM(BR26:BR29)</f>
        <v>18069</v>
      </c>
      <c r="BS31" s="5" t="s">
        <v>6</v>
      </c>
      <c r="BT31" s="6">
        <f>SUM(BT26:BT29)</f>
        <v>18069</v>
      </c>
      <c r="BU31" s="5" t="s">
        <v>6</v>
      </c>
      <c r="BV31" s="6">
        <f>SUM(BV26:BV29)</f>
        <v>18069</v>
      </c>
      <c r="BW31" s="5" t="s">
        <v>6</v>
      </c>
      <c r="BX31" s="6">
        <f>SUM(BX26:BX29)</f>
        <v>18069</v>
      </c>
      <c r="BY31" s="5" t="s">
        <v>6</v>
      </c>
      <c r="BZ31" s="6">
        <f>SUM(BZ26:BZ29)</f>
        <v>18069</v>
      </c>
      <c r="CA31" s="5" t="s">
        <v>6</v>
      </c>
      <c r="CB31" s="6">
        <f>SUM(CB26:CB29)</f>
        <v>18069</v>
      </c>
      <c r="CC31" s="5" t="s">
        <v>6</v>
      </c>
      <c r="CD31" s="6">
        <f>SUM(CD26:CD29)</f>
        <v>18069</v>
      </c>
      <c r="CE31" s="5" t="s">
        <v>6</v>
      </c>
      <c r="CF31" s="6">
        <f>SUM(CF26:CF29)</f>
        <v>18069</v>
      </c>
      <c r="CG31" s="5" t="s">
        <v>6</v>
      </c>
      <c r="CH31" s="6">
        <f>SUM(CH26:CH29)</f>
        <v>18069</v>
      </c>
      <c r="CI31" s="5" t="s">
        <v>6</v>
      </c>
      <c r="CJ31" s="6">
        <f>SUM(CJ26:CJ29)</f>
        <v>18069</v>
      </c>
      <c r="CK31" s="5" t="s">
        <v>6</v>
      </c>
      <c r="CL31" s="6">
        <f>SUM(CL26:CL29)</f>
        <v>18069</v>
      </c>
      <c r="CM31" s="5" t="s">
        <v>6</v>
      </c>
      <c r="CN31" s="6">
        <f>SUM(CN26:CN29)</f>
        <v>18069</v>
      </c>
      <c r="CO31" s="5" t="s">
        <v>6</v>
      </c>
      <c r="CP31" s="6">
        <f>SUM(CP26:CP29)</f>
        <v>18069</v>
      </c>
      <c r="CQ31" s="5" t="s">
        <v>6</v>
      </c>
      <c r="CR31" s="6">
        <f>SUM(CR26:CR29)</f>
        <v>18069</v>
      </c>
      <c r="CS31" s="5" t="s">
        <v>6</v>
      </c>
      <c r="CT31" s="6">
        <f>SUM(CT26:CT29)</f>
        <v>18069</v>
      </c>
      <c r="CU31" s="5" t="s">
        <v>6</v>
      </c>
      <c r="CV31" s="6">
        <f>SUM(CV26:CV29)</f>
        <v>18069</v>
      </c>
      <c r="CW31" s="5" t="s">
        <v>6</v>
      </c>
      <c r="CX31" s="6">
        <f>SUM(CX26:CX29)</f>
        <v>18069</v>
      </c>
      <c r="CY31" s="5" t="s">
        <v>6</v>
      </c>
      <c r="CZ31" s="6">
        <f>SUM(CZ26:CZ29)</f>
        <v>18069</v>
      </c>
      <c r="DA31" s="5" t="s">
        <v>6</v>
      </c>
      <c r="DB31" s="6">
        <f>SUM(DB26:DB29)</f>
        <v>18069</v>
      </c>
      <c r="DC31" s="5" t="s">
        <v>6</v>
      </c>
      <c r="DD31" s="6">
        <f>SUM(DD26:DD29)</f>
        <v>18069</v>
      </c>
      <c r="DE31" s="5" t="s">
        <v>6</v>
      </c>
      <c r="DF31" s="6">
        <f>SUM(DF26:DF29)</f>
        <v>18069</v>
      </c>
      <c r="DG31" s="5" t="s">
        <v>6</v>
      </c>
      <c r="DH31" s="6">
        <f>SUM(DH26:DH29)</f>
        <v>18069</v>
      </c>
      <c r="DI31" s="5" t="s">
        <v>6</v>
      </c>
      <c r="DJ31" s="6">
        <f>SUM(DJ26:DJ29)</f>
        <v>18069</v>
      </c>
      <c r="DK31" s="5" t="s">
        <v>6</v>
      </c>
      <c r="DL31" s="6">
        <f>SUM(DL26:DL29)</f>
        <v>18069</v>
      </c>
      <c r="DM31" s="5" t="s">
        <v>6</v>
      </c>
      <c r="DN31" s="6">
        <f>SUM(DN26:DN29)</f>
        <v>18069</v>
      </c>
      <c r="DO31" s="5" t="s">
        <v>6</v>
      </c>
      <c r="DP31" s="6">
        <f>SUM(DP26:DP29)</f>
        <v>18069</v>
      </c>
      <c r="DQ31" s="5" t="s">
        <v>6</v>
      </c>
      <c r="DR31" s="6">
        <f>SUM(DR26:DR29)</f>
        <v>18069</v>
      </c>
      <c r="DS31" s="5" t="s">
        <v>6</v>
      </c>
      <c r="DT31" s="6">
        <f>SUM(DT26:DT29)</f>
        <v>18069</v>
      </c>
      <c r="DU31" s="5" t="s">
        <v>6</v>
      </c>
      <c r="DV31" s="6">
        <f>SUM(DV26:DV29)</f>
        <v>18069</v>
      </c>
      <c r="DW31" s="5" t="s">
        <v>6</v>
      </c>
      <c r="DX31" s="6">
        <f>SUM(DX26:DX29)</f>
        <v>18069</v>
      </c>
      <c r="DY31" s="5" t="s">
        <v>6</v>
      </c>
      <c r="DZ31" s="6">
        <f>SUM(DZ26:DZ29)</f>
        <v>18069</v>
      </c>
      <c r="EA31" s="5" t="s">
        <v>6</v>
      </c>
      <c r="EB31" s="6">
        <f>SUM(EB26:EB29)</f>
        <v>18069</v>
      </c>
      <c r="EC31" s="5" t="s">
        <v>6</v>
      </c>
      <c r="ED31" s="6">
        <f>SUM(ED26:ED29)</f>
        <v>18069</v>
      </c>
      <c r="EE31" s="5" t="s">
        <v>6</v>
      </c>
      <c r="EF31" s="6">
        <f>SUM(EF26:EF29)</f>
        <v>18069</v>
      </c>
      <c r="EG31" s="5" t="s">
        <v>6</v>
      </c>
      <c r="EH31" s="6">
        <f>SUM(EH26:EH29)</f>
        <v>18069</v>
      </c>
      <c r="EI31" s="5" t="s">
        <v>6</v>
      </c>
      <c r="EJ31" s="6">
        <f>SUM(EJ26:EJ29)</f>
        <v>18069</v>
      </c>
      <c r="EK31" s="5" t="s">
        <v>6</v>
      </c>
      <c r="EL31" s="6">
        <f>SUM(EL26:EL29)</f>
        <v>18069</v>
      </c>
      <c r="EM31" s="5" t="s">
        <v>6</v>
      </c>
      <c r="EN31" s="6">
        <f>SUM(EN26:EN29)</f>
        <v>18069</v>
      </c>
      <c r="EO31" s="5" t="s">
        <v>6</v>
      </c>
      <c r="EP31" s="6">
        <f>SUM(EP26:EP29)</f>
        <v>18069</v>
      </c>
      <c r="EQ31" s="5" t="s">
        <v>6</v>
      </c>
      <c r="ER31" s="6">
        <f>SUM(ER26:ER29)</f>
        <v>18069</v>
      </c>
      <c r="ES31" s="5" t="s">
        <v>6</v>
      </c>
      <c r="ET31" s="6">
        <f>SUM(ET26:ET29)</f>
        <v>18069</v>
      </c>
      <c r="EU31" s="5" t="s">
        <v>6</v>
      </c>
      <c r="EV31" s="6">
        <f>SUM(EV26:EV29)</f>
        <v>18069</v>
      </c>
      <c r="EW31" s="5" t="s">
        <v>6</v>
      </c>
      <c r="EX31" s="6">
        <f>SUM(EX26:EX29)</f>
        <v>18069</v>
      </c>
      <c r="EY31" s="5" t="s">
        <v>6</v>
      </c>
      <c r="EZ31" s="6">
        <f>SUM(EZ26:EZ29)</f>
        <v>18069</v>
      </c>
      <c r="FA31" s="5" t="s">
        <v>6</v>
      </c>
      <c r="FB31" s="6">
        <f>SUM(FB26:FB29)</f>
        <v>18069</v>
      </c>
      <c r="FC31" s="5" t="s">
        <v>6</v>
      </c>
      <c r="FD31" s="6">
        <f>SUM(FD26:FD29)</f>
        <v>18069</v>
      </c>
      <c r="FE31" s="5" t="s">
        <v>6</v>
      </c>
      <c r="FF31" s="6">
        <f>SUM(FF26:FF29)</f>
        <v>18069</v>
      </c>
      <c r="FG31" s="5" t="s">
        <v>6</v>
      </c>
      <c r="FH31" s="6">
        <f>SUM(FH26:FH29)</f>
        <v>18069</v>
      </c>
      <c r="FI31" s="5" t="s">
        <v>6</v>
      </c>
      <c r="FJ31" s="6">
        <f>SUM(FJ26:FJ29)</f>
        <v>18069</v>
      </c>
      <c r="FK31" s="5" t="s">
        <v>6</v>
      </c>
      <c r="FL31" s="6">
        <f>SUM(FL26:FL29)</f>
        <v>18069</v>
      </c>
      <c r="FM31" s="5" t="s">
        <v>6</v>
      </c>
      <c r="FN31" s="6">
        <f>SUM(FN26:FN29)</f>
        <v>18069</v>
      </c>
      <c r="FO31" s="5" t="s">
        <v>6</v>
      </c>
      <c r="FP31" s="6">
        <f>SUM(FP26:FP29)</f>
        <v>18069</v>
      </c>
      <c r="FQ31" s="5" t="s">
        <v>6</v>
      </c>
      <c r="FR31" s="6">
        <f>SUM(FR26:FR29)</f>
        <v>18069</v>
      </c>
      <c r="FS31" s="5" t="s">
        <v>6</v>
      </c>
      <c r="FT31" s="6">
        <f>SUM(FT26:FT29)</f>
        <v>18069</v>
      </c>
      <c r="FU31" s="5" t="s">
        <v>6</v>
      </c>
      <c r="FV31" s="6">
        <f>SUM(FV26:FV29)</f>
        <v>18069</v>
      </c>
      <c r="FW31" s="5" t="s">
        <v>6</v>
      </c>
      <c r="FX31" s="6">
        <f>SUM(FX26:FX29)</f>
        <v>18069</v>
      </c>
      <c r="FY31" s="5" t="s">
        <v>6</v>
      </c>
      <c r="FZ31" s="6">
        <f>SUM(FZ26:FZ29)</f>
        <v>18069</v>
      </c>
      <c r="GA31" s="5" t="s">
        <v>6</v>
      </c>
      <c r="GB31" s="6">
        <f>SUM(GB26:GB29)</f>
        <v>18069</v>
      </c>
      <c r="GC31" s="5" t="s">
        <v>6</v>
      </c>
      <c r="GD31" s="6">
        <f>SUM(GD26:GD29)</f>
        <v>18069</v>
      </c>
      <c r="GE31" s="5" t="s">
        <v>6</v>
      </c>
      <c r="GF31" s="6">
        <f>SUM(GF26:GF29)</f>
        <v>18069</v>
      </c>
      <c r="GG31" s="5" t="s">
        <v>6</v>
      </c>
      <c r="GH31" s="6">
        <f>SUM(GH26:GH29)</f>
        <v>18069</v>
      </c>
      <c r="GI31" s="5" t="s">
        <v>6</v>
      </c>
      <c r="GJ31" s="6">
        <f>SUM(GJ26:GJ29)</f>
        <v>18069</v>
      </c>
      <c r="GK31" s="5" t="s">
        <v>6</v>
      </c>
      <c r="GL31" s="6">
        <f>SUM(GL26:GL29)</f>
        <v>18069</v>
      </c>
      <c r="GM31" s="5" t="s">
        <v>6</v>
      </c>
      <c r="GN31" s="6">
        <f>SUM(GN26:GN29)</f>
        <v>18069</v>
      </c>
      <c r="GO31" s="5" t="s">
        <v>6</v>
      </c>
      <c r="GP31" s="6">
        <f>SUM(GP26:GP29)</f>
        <v>18069</v>
      </c>
      <c r="GQ31" s="5" t="s">
        <v>6</v>
      </c>
      <c r="GR31" s="6">
        <f>SUM(GR26:GR29)</f>
        <v>18069</v>
      </c>
      <c r="GS31" s="5" t="s">
        <v>6</v>
      </c>
      <c r="GT31" s="6">
        <f>SUM(GT26:GT29)</f>
        <v>18069</v>
      </c>
      <c r="GU31" s="5" t="s">
        <v>6</v>
      </c>
      <c r="GV31" s="6">
        <f>SUM(GV26:GV29)</f>
        <v>18069</v>
      </c>
      <c r="GW31" s="5" t="s">
        <v>6</v>
      </c>
      <c r="GX31" s="6">
        <f>SUM(GX26:GX29)</f>
        <v>18069</v>
      </c>
      <c r="GY31" s="5" t="s">
        <v>6</v>
      </c>
      <c r="GZ31" s="6">
        <f>SUM(GZ26:GZ29)</f>
        <v>18069</v>
      </c>
      <c r="HA31" s="5" t="s">
        <v>6</v>
      </c>
      <c r="HB31" s="6">
        <f>SUM(HB26:HB29)</f>
        <v>18069</v>
      </c>
      <c r="HC31" s="5" t="s">
        <v>6</v>
      </c>
      <c r="HD31" s="6">
        <f>SUM(HD26:HD29)</f>
        <v>18069</v>
      </c>
      <c r="HE31" s="5" t="s">
        <v>6</v>
      </c>
      <c r="HF31" s="6">
        <f>SUM(HF26:HF29)</f>
        <v>18069</v>
      </c>
      <c r="HG31" s="5" t="s">
        <v>6</v>
      </c>
      <c r="HH31" s="6">
        <f>SUM(HH26:HH29)</f>
        <v>18069</v>
      </c>
      <c r="HI31" s="5" t="s">
        <v>6</v>
      </c>
      <c r="HJ31" s="6">
        <f>SUM(HJ26:HJ29)</f>
        <v>18069</v>
      </c>
      <c r="HK31" s="5" t="s">
        <v>6</v>
      </c>
      <c r="HL31" s="6">
        <f>SUM(HL26:HL29)</f>
        <v>18069</v>
      </c>
      <c r="HM31" s="5" t="s">
        <v>6</v>
      </c>
      <c r="HN31" s="6">
        <f>SUM(HN26:HN29)</f>
        <v>18069</v>
      </c>
      <c r="HO31" s="5" t="s">
        <v>6</v>
      </c>
      <c r="HP31" s="6">
        <f>SUM(HP26:HP29)</f>
        <v>18069</v>
      </c>
      <c r="HQ31" s="5" t="s">
        <v>6</v>
      </c>
      <c r="HR31" s="6">
        <f>SUM(HR26:HR29)</f>
        <v>18069</v>
      </c>
      <c r="HS31" s="5" t="s">
        <v>6</v>
      </c>
      <c r="HT31" s="6">
        <f>SUM(HT26:HT29)</f>
        <v>18069</v>
      </c>
      <c r="HU31" s="5" t="s">
        <v>6</v>
      </c>
      <c r="HV31" s="6">
        <f>SUM(HV26:HV29)</f>
        <v>18069</v>
      </c>
      <c r="HW31" s="5" t="s">
        <v>6</v>
      </c>
      <c r="HX31" s="6">
        <f>SUM(HX26:HX29)</f>
        <v>18069</v>
      </c>
      <c r="HY31" s="5" t="s">
        <v>6</v>
      </c>
      <c r="HZ31" s="6">
        <f>SUM(HZ26:HZ29)</f>
        <v>18069</v>
      </c>
      <c r="IA31" s="5" t="s">
        <v>6</v>
      </c>
      <c r="IB31" s="6">
        <f>SUM(IB26:IB29)</f>
        <v>18069</v>
      </c>
      <c r="IC31" s="5" t="s">
        <v>6</v>
      </c>
      <c r="ID31" s="6">
        <f>SUM(ID26:ID29)</f>
        <v>18069</v>
      </c>
      <c r="IE31" s="5" t="s">
        <v>6</v>
      </c>
      <c r="IF31" s="6">
        <f>SUM(IF26:IF29)</f>
        <v>18069</v>
      </c>
      <c r="IG31" s="5" t="s">
        <v>6</v>
      </c>
      <c r="IH31" s="6">
        <f>SUM(IH26:IH29)</f>
        <v>18069</v>
      </c>
      <c r="II31" s="5" t="s">
        <v>6</v>
      </c>
      <c r="IJ31" s="6">
        <f>SUM(IJ26:IJ29)</f>
        <v>18069</v>
      </c>
      <c r="IK31" s="5" t="s">
        <v>6</v>
      </c>
      <c r="IL31" s="6">
        <f>SUM(IL26:IL29)</f>
        <v>18069</v>
      </c>
      <c r="IM31" s="5" t="s">
        <v>6</v>
      </c>
      <c r="IN31" s="6">
        <f>SUM(IN26:IN29)</f>
        <v>18069</v>
      </c>
      <c r="IO31" s="5" t="s">
        <v>6</v>
      </c>
      <c r="IP31" s="6">
        <f>SUM(IP26:IP29)</f>
        <v>18069</v>
      </c>
      <c r="IQ31" s="5" t="s">
        <v>6</v>
      </c>
      <c r="IR31" s="6">
        <f>SUM(IR26:IR29)</f>
        <v>18069</v>
      </c>
      <c r="IS31" s="5" t="s">
        <v>6</v>
      </c>
      <c r="IT31" s="6">
        <f>SUM(IT26:IT29)</f>
        <v>18069</v>
      </c>
      <c r="IU31" s="5" t="s">
        <v>6</v>
      </c>
      <c r="IV31" s="6">
        <f>SUM(IV26:IV29)</f>
        <v>18069</v>
      </c>
    </row>
    <row r="32" spans="1:256" ht="20.149999999999999" x14ac:dyDescent="0.5">
      <c r="A32" s="21" t="s">
        <v>6</v>
      </c>
      <c r="B32" s="21">
        <f>SUM(B29:B31)</f>
        <v>2000</v>
      </c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  <c r="IF32" s="13"/>
      <c r="IG32" s="13"/>
      <c r="IH32" s="13"/>
      <c r="II32" s="13"/>
      <c r="IJ32" s="13"/>
      <c r="IK32" s="13"/>
      <c r="IL32" s="13"/>
      <c r="IM32" s="13"/>
      <c r="IN32" s="13"/>
      <c r="IO32" s="13"/>
      <c r="IP32" s="13"/>
      <c r="IQ32" s="13"/>
      <c r="IR32" s="13"/>
      <c r="IS32" s="13"/>
      <c r="IT32" s="13"/>
      <c r="IU32" s="13"/>
      <c r="IV32" s="13"/>
    </row>
    <row r="33" spans="1:2" ht="25.75" thickBot="1" x14ac:dyDescent="0.65">
      <c r="A33" s="7" t="s">
        <v>6</v>
      </c>
      <c r="B33" s="8">
        <f>SUM(B32,B28,B23,B18,B12,B8)</f>
        <v>57312</v>
      </c>
    </row>
  </sheetData>
  <phoneticPr fontId="7" type="noConversion"/>
  <pageMargins left="0.75" right="0.75" top="1" bottom="1" header="0.5" footer="0.5"/>
  <pageSetup paperSize="9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7180A-2159-472E-AD85-F6FC9189BE56}">
  <dimension ref="A1:N32"/>
  <sheetViews>
    <sheetView rightToLeft="1" workbookViewId="0">
      <selection sqref="A1:B32"/>
    </sheetView>
  </sheetViews>
  <sheetFormatPr defaultRowHeight="12.45" x14ac:dyDescent="0.3"/>
  <cols>
    <col min="1" max="1" width="23" customWidth="1"/>
    <col min="2" max="2" width="21.53515625" customWidth="1"/>
  </cols>
  <sheetData>
    <row r="1" spans="1:14" ht="22.75" x14ac:dyDescent="0.55000000000000004">
      <c r="A1" s="23" t="s">
        <v>19</v>
      </c>
      <c r="B1" s="23" t="s">
        <v>0</v>
      </c>
    </row>
    <row r="2" spans="1:14" ht="17.600000000000001" x14ac:dyDescent="0.4">
      <c r="A2" s="22" t="s">
        <v>1</v>
      </c>
      <c r="B2" s="24">
        <v>5000</v>
      </c>
      <c r="D2">
        <v>72</v>
      </c>
    </row>
    <row r="3" spans="1:14" ht="17.600000000000001" x14ac:dyDescent="0.4">
      <c r="A3" s="22" t="s">
        <v>2</v>
      </c>
      <c r="B3" s="24">
        <v>572</v>
      </c>
    </row>
    <row r="4" spans="1:14" ht="17.600000000000001" x14ac:dyDescent="0.4">
      <c r="A4" s="22" t="s">
        <v>3</v>
      </c>
      <c r="B4" s="24">
        <v>1072</v>
      </c>
      <c r="N4">
        <v>5000</v>
      </c>
    </row>
    <row r="5" spans="1:14" ht="17.600000000000001" x14ac:dyDescent="0.4">
      <c r="A5" s="22" t="s">
        <v>5</v>
      </c>
      <c r="B5" s="24">
        <v>2068</v>
      </c>
    </row>
    <row r="6" spans="1:14" ht="17.600000000000001" x14ac:dyDescent="0.4">
      <c r="A6" s="22" t="s">
        <v>36</v>
      </c>
      <c r="B6" s="24">
        <v>0</v>
      </c>
    </row>
    <row r="7" spans="1:14" ht="17.600000000000001" x14ac:dyDescent="0.4">
      <c r="A7" s="22" t="s">
        <v>27</v>
      </c>
      <c r="B7" s="24">
        <v>1645</v>
      </c>
    </row>
    <row r="8" spans="1:14" ht="20.149999999999999" x14ac:dyDescent="0.5">
      <c r="A8" s="21" t="s">
        <v>6</v>
      </c>
      <c r="B8" s="21">
        <f>SUM(B2:B7)</f>
        <v>10357</v>
      </c>
    </row>
    <row r="9" spans="1:14" ht="17.600000000000001" x14ac:dyDescent="0.4">
      <c r="A9" s="22" t="s">
        <v>35</v>
      </c>
      <c r="B9" s="24">
        <v>4524</v>
      </c>
    </row>
    <row r="10" spans="1:14" ht="17.600000000000001" x14ac:dyDescent="0.4">
      <c r="A10" s="22" t="s">
        <v>10</v>
      </c>
      <c r="B10" s="24">
        <v>5136</v>
      </c>
    </row>
    <row r="11" spans="1:14" ht="20.149999999999999" x14ac:dyDescent="0.5">
      <c r="A11" s="21" t="s">
        <v>6</v>
      </c>
      <c r="B11" s="21">
        <f>SUM(B9:B10)</f>
        <v>9660</v>
      </c>
    </row>
    <row r="12" spans="1:14" ht="17.600000000000001" x14ac:dyDescent="0.4">
      <c r="A12" s="22" t="s">
        <v>24</v>
      </c>
      <c r="B12" s="22">
        <v>1449</v>
      </c>
    </row>
    <row r="13" spans="1:14" ht="17.600000000000001" x14ac:dyDescent="0.4">
      <c r="A13" s="22" t="s">
        <v>7</v>
      </c>
      <c r="B13" s="22">
        <v>2175</v>
      </c>
      <c r="D13">
        <v>500</v>
      </c>
    </row>
    <row r="14" spans="1:14" ht="17.600000000000001" x14ac:dyDescent="0.4">
      <c r="A14" s="22" t="s">
        <v>33</v>
      </c>
      <c r="B14" s="22">
        <v>1716</v>
      </c>
    </row>
    <row r="15" spans="1:14" ht="17.600000000000001" x14ac:dyDescent="0.4">
      <c r="A15" s="22" t="s">
        <v>20</v>
      </c>
      <c r="B15" s="22">
        <v>0</v>
      </c>
      <c r="C15">
        <f>SUM(C1:C14)</f>
        <v>0</v>
      </c>
      <c r="D15">
        <f>SUM(D1:D14)</f>
        <v>572</v>
      </c>
      <c r="E15">
        <f>SUM(C15:D15)</f>
        <v>572</v>
      </c>
    </row>
    <row r="16" spans="1:14" ht="17.600000000000001" x14ac:dyDescent="0.4">
      <c r="A16" s="22" t="s">
        <v>32</v>
      </c>
      <c r="B16" s="22">
        <v>1250</v>
      </c>
    </row>
    <row r="17" spans="1:10" ht="20.149999999999999" x14ac:dyDescent="0.5">
      <c r="A17" s="21" t="s">
        <v>6</v>
      </c>
      <c r="B17" s="21">
        <f>SUM(B12:B16)</f>
        <v>6590</v>
      </c>
      <c r="J17">
        <v>20009</v>
      </c>
    </row>
    <row r="18" spans="1:10" ht="17.600000000000001" x14ac:dyDescent="0.4">
      <c r="A18" s="22" t="s">
        <v>22</v>
      </c>
      <c r="B18" s="24">
        <v>2034</v>
      </c>
      <c r="J18">
        <v>40049</v>
      </c>
    </row>
    <row r="19" spans="1:10" ht="17.600000000000001" x14ac:dyDescent="0.4">
      <c r="A19" s="22" t="s">
        <v>8</v>
      </c>
      <c r="B19" s="24">
        <v>2527</v>
      </c>
      <c r="J19">
        <v>3050</v>
      </c>
    </row>
    <row r="20" spans="1:10" ht="17.600000000000001" x14ac:dyDescent="0.4">
      <c r="A20" s="22" t="s">
        <v>9</v>
      </c>
      <c r="B20" s="24">
        <v>2142</v>
      </c>
      <c r="J20">
        <f>SUM(J17:J19)</f>
        <v>63108</v>
      </c>
    </row>
    <row r="21" spans="1:10" ht="17.600000000000001" x14ac:dyDescent="0.4">
      <c r="A21" s="22" t="s">
        <v>11</v>
      </c>
      <c r="B21" s="24">
        <v>2543</v>
      </c>
    </row>
    <row r="22" spans="1:10" ht="20.149999999999999" x14ac:dyDescent="0.5">
      <c r="A22" s="21" t="s">
        <v>6</v>
      </c>
      <c r="B22" s="21">
        <f>SUM(B18:B21)</f>
        <v>9246</v>
      </c>
    </row>
    <row r="23" spans="1:10" ht="17.600000000000001" x14ac:dyDescent="0.4">
      <c r="A23" s="22" t="s">
        <v>12</v>
      </c>
      <c r="B23" s="24">
        <v>8320</v>
      </c>
    </row>
    <row r="24" spans="1:10" ht="17.600000000000001" x14ac:dyDescent="0.4">
      <c r="A24" s="22" t="s">
        <v>14</v>
      </c>
      <c r="B24" s="24">
        <v>3772</v>
      </c>
    </row>
    <row r="25" spans="1:10" ht="17.600000000000001" x14ac:dyDescent="0.4">
      <c r="A25" s="22" t="s">
        <v>31</v>
      </c>
      <c r="B25" s="24">
        <v>833.5</v>
      </c>
    </row>
    <row r="26" spans="1:10" ht="17.600000000000001" x14ac:dyDescent="0.4">
      <c r="A26" s="22" t="s">
        <v>15</v>
      </c>
      <c r="B26" s="24">
        <v>2886</v>
      </c>
    </row>
    <row r="27" spans="1:10" ht="20.149999999999999" x14ac:dyDescent="0.5">
      <c r="A27" s="21" t="s">
        <v>6</v>
      </c>
      <c r="B27" s="21">
        <f>SUM(B23:B26)</f>
        <v>15811.5</v>
      </c>
    </row>
    <row r="28" spans="1:10" ht="17.600000000000001" x14ac:dyDescent="0.4">
      <c r="A28" s="22" t="s">
        <v>16</v>
      </c>
      <c r="B28" s="24">
        <v>1500</v>
      </c>
    </row>
    <row r="29" spans="1:10" ht="17.600000000000001" x14ac:dyDescent="0.4">
      <c r="A29" s="22" t="s">
        <v>17</v>
      </c>
      <c r="B29" s="24">
        <v>250</v>
      </c>
    </row>
    <row r="30" spans="1:10" ht="17.600000000000001" x14ac:dyDescent="0.4">
      <c r="A30" s="22" t="s">
        <v>18</v>
      </c>
      <c r="B30" s="24">
        <v>250</v>
      </c>
    </row>
    <row r="31" spans="1:10" ht="20.149999999999999" x14ac:dyDescent="0.5">
      <c r="A31" s="21" t="s">
        <v>6</v>
      </c>
      <c r="B31" s="21">
        <f>SUM(B28:B30)</f>
        <v>2000</v>
      </c>
    </row>
    <row r="32" spans="1:10" ht="25.75" thickBot="1" x14ac:dyDescent="0.65">
      <c r="A32" s="7" t="s">
        <v>6</v>
      </c>
      <c r="B32" s="8">
        <f>SUM(B31,B27,B22,B17,B11,B8)</f>
        <v>53664.5</v>
      </c>
    </row>
  </sheetData>
  <phoneticPr fontId="7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FC790-B048-4FF0-8F24-D19592DEFDBB}">
  <dimension ref="A1:L32"/>
  <sheetViews>
    <sheetView rightToLeft="1" workbookViewId="0">
      <selection sqref="A1:B32"/>
    </sheetView>
  </sheetViews>
  <sheetFormatPr defaultRowHeight="12.45" x14ac:dyDescent="0.3"/>
  <cols>
    <col min="1" max="1" width="20.3828125" customWidth="1"/>
    <col min="2" max="2" width="29.15234375" customWidth="1"/>
    <col min="3" max="3" width="14.53515625" customWidth="1"/>
    <col min="4" max="4" width="16.53515625" customWidth="1"/>
  </cols>
  <sheetData>
    <row r="1" spans="1:12" ht="22.75" x14ac:dyDescent="0.55000000000000004">
      <c r="A1" s="23" t="s">
        <v>19</v>
      </c>
      <c r="B1" s="23" t="s">
        <v>0</v>
      </c>
    </row>
    <row r="2" spans="1:12" ht="17.600000000000001" x14ac:dyDescent="0.4">
      <c r="A2" s="22" t="s">
        <v>1</v>
      </c>
      <c r="B2" s="24">
        <v>5000</v>
      </c>
      <c r="C2">
        <v>22</v>
      </c>
    </row>
    <row r="3" spans="1:12" ht="17.600000000000001" x14ac:dyDescent="0.4">
      <c r="A3" s="22" t="s">
        <v>2</v>
      </c>
      <c r="B3" s="24">
        <v>572</v>
      </c>
    </row>
    <row r="4" spans="1:12" ht="17.600000000000001" x14ac:dyDescent="0.4">
      <c r="A4" s="22" t="s">
        <v>3</v>
      </c>
      <c r="B4" s="24">
        <v>1072</v>
      </c>
      <c r="D4">
        <v>500</v>
      </c>
    </row>
    <row r="5" spans="1:12" ht="17.600000000000001" x14ac:dyDescent="0.4">
      <c r="A5" s="22" t="s">
        <v>5</v>
      </c>
      <c r="B5" s="24">
        <v>2679</v>
      </c>
      <c r="L5">
        <v>29193</v>
      </c>
    </row>
    <row r="6" spans="1:12" ht="17.600000000000001" x14ac:dyDescent="0.4">
      <c r="A6" s="22" t="s">
        <v>36</v>
      </c>
      <c r="B6" s="24">
        <v>0</v>
      </c>
      <c r="L6">
        <v>3700</v>
      </c>
    </row>
    <row r="7" spans="1:12" ht="17.600000000000001" x14ac:dyDescent="0.4">
      <c r="A7" s="22" t="s">
        <v>27</v>
      </c>
      <c r="B7" s="24">
        <v>1598</v>
      </c>
      <c r="L7">
        <v>16725</v>
      </c>
    </row>
    <row r="8" spans="1:12" ht="20.149999999999999" x14ac:dyDescent="0.5">
      <c r="A8" s="21" t="s">
        <v>6</v>
      </c>
      <c r="B8" s="21">
        <f>SUM(B2:B7)</f>
        <v>10921</v>
      </c>
      <c r="L8">
        <f>SUM(L5:L7)</f>
        <v>49618</v>
      </c>
    </row>
    <row r="9" spans="1:12" ht="17.600000000000001" x14ac:dyDescent="0.4">
      <c r="A9" s="22" t="s">
        <v>35</v>
      </c>
      <c r="B9" s="24">
        <v>4524</v>
      </c>
    </row>
    <row r="10" spans="1:12" ht="17.600000000000001" x14ac:dyDescent="0.4">
      <c r="A10" s="22" t="s">
        <v>10</v>
      </c>
      <c r="B10" s="24">
        <v>5448</v>
      </c>
    </row>
    <row r="11" spans="1:12" ht="20.149999999999999" x14ac:dyDescent="0.5">
      <c r="A11" s="21" t="s">
        <v>6</v>
      </c>
      <c r="B11" s="21">
        <f>SUM(B9:B10)</f>
        <v>9972</v>
      </c>
    </row>
    <row r="12" spans="1:12" ht="17.600000000000001" x14ac:dyDescent="0.4">
      <c r="A12" s="22" t="s">
        <v>24</v>
      </c>
      <c r="B12" s="22">
        <v>1449</v>
      </c>
    </row>
    <row r="13" spans="1:12" ht="17.600000000000001" x14ac:dyDescent="0.4">
      <c r="A13" s="22" t="s">
        <v>7</v>
      </c>
      <c r="B13" s="22">
        <v>2175</v>
      </c>
    </row>
    <row r="14" spans="1:12" ht="17.600000000000001" x14ac:dyDescent="0.4">
      <c r="A14" s="22" t="s">
        <v>33</v>
      </c>
      <c r="B14" s="22">
        <v>1716</v>
      </c>
    </row>
    <row r="15" spans="1:12" ht="17.600000000000001" x14ac:dyDescent="0.4">
      <c r="A15" s="22" t="s">
        <v>20</v>
      </c>
      <c r="B15" s="22">
        <v>0</v>
      </c>
    </row>
    <row r="16" spans="1:12" ht="17.600000000000001" x14ac:dyDescent="0.4">
      <c r="A16" s="22" t="s">
        <v>32</v>
      </c>
      <c r="B16" s="22">
        <v>1250</v>
      </c>
    </row>
    <row r="17" spans="1:9" ht="20.149999999999999" x14ac:dyDescent="0.5">
      <c r="A17" s="21" t="s">
        <v>6</v>
      </c>
      <c r="B17" s="21">
        <f>SUM(B12:B16)</f>
        <v>6590</v>
      </c>
    </row>
    <row r="18" spans="1:9" ht="17.600000000000001" x14ac:dyDescent="0.4">
      <c r="A18" s="22" t="s">
        <v>8</v>
      </c>
      <c r="B18" s="24">
        <v>2527</v>
      </c>
      <c r="C18">
        <f>SUM(C1:C17)</f>
        <v>22</v>
      </c>
      <c r="D18">
        <f>SUM(D1:D17)</f>
        <v>500</v>
      </c>
      <c r="E18">
        <f>SUM(C18:D18)</f>
        <v>522</v>
      </c>
    </row>
    <row r="19" spans="1:9" ht="17.600000000000001" x14ac:dyDescent="0.4">
      <c r="A19" s="22" t="s">
        <v>9</v>
      </c>
      <c r="B19" s="24">
        <v>2142</v>
      </c>
    </row>
    <row r="20" spans="1:9" ht="17.600000000000001" x14ac:dyDescent="0.4">
      <c r="A20" s="22" t="s">
        <v>11</v>
      </c>
      <c r="B20" s="24">
        <v>2543</v>
      </c>
    </row>
    <row r="21" spans="1:9" ht="20.149999999999999" x14ac:dyDescent="0.5">
      <c r="A21" s="21" t="s">
        <v>6</v>
      </c>
      <c r="B21" s="21">
        <f>SUM(B18:B20)</f>
        <v>7212</v>
      </c>
    </row>
    <row r="22" spans="1:9" ht="17.600000000000001" x14ac:dyDescent="0.4">
      <c r="A22" s="22" t="s">
        <v>12</v>
      </c>
      <c r="B22" s="24">
        <v>8320</v>
      </c>
    </row>
    <row r="23" spans="1:9" ht="17.600000000000001" x14ac:dyDescent="0.4">
      <c r="A23" s="22" t="s">
        <v>14</v>
      </c>
      <c r="B23" s="24">
        <v>3772</v>
      </c>
    </row>
    <row r="24" spans="1:9" ht="17.600000000000001" x14ac:dyDescent="0.4">
      <c r="A24" s="22" t="s">
        <v>31</v>
      </c>
      <c r="B24" s="24">
        <v>1000</v>
      </c>
    </row>
    <row r="25" spans="1:9" ht="17.600000000000001" x14ac:dyDescent="0.4">
      <c r="A25" s="22" t="s">
        <v>15</v>
      </c>
      <c r="B25" s="24">
        <v>2886</v>
      </c>
    </row>
    <row r="26" spans="1:9" ht="20.149999999999999" x14ac:dyDescent="0.5">
      <c r="A26" s="21" t="s">
        <v>6</v>
      </c>
      <c r="B26" s="21">
        <f>SUM(B22:B25)</f>
        <v>15978</v>
      </c>
    </row>
    <row r="27" spans="1:9" ht="17.600000000000001" x14ac:dyDescent="0.4">
      <c r="A27" s="22" t="s">
        <v>16</v>
      </c>
      <c r="B27" s="24">
        <v>1500</v>
      </c>
      <c r="I27">
        <v>39437.5</v>
      </c>
    </row>
    <row r="28" spans="1:9" ht="17.600000000000001" x14ac:dyDescent="0.4">
      <c r="A28" s="22" t="s">
        <v>17</v>
      </c>
      <c r="B28" s="24">
        <v>250</v>
      </c>
      <c r="I28">
        <v>3050</v>
      </c>
    </row>
    <row r="29" spans="1:9" ht="17.600000000000001" x14ac:dyDescent="0.4">
      <c r="A29" s="22" t="s">
        <v>18</v>
      </c>
      <c r="B29" s="24">
        <v>250</v>
      </c>
      <c r="I29">
        <v>20225.5</v>
      </c>
    </row>
    <row r="30" spans="1:9" ht="20.149999999999999" x14ac:dyDescent="0.5">
      <c r="A30" s="21" t="s">
        <v>6</v>
      </c>
      <c r="B30" s="21">
        <f>SUM(B27:B29)</f>
        <v>2000</v>
      </c>
      <c r="I30">
        <f>SUM(I27:I29)</f>
        <v>62713</v>
      </c>
    </row>
    <row r="31" spans="1:9" ht="25.75" thickBot="1" x14ac:dyDescent="0.65">
      <c r="A31" s="7" t="s">
        <v>6</v>
      </c>
      <c r="B31" s="8">
        <f>SUM(B30,B26,B21,B17,B11,B8)</f>
        <v>52673</v>
      </c>
    </row>
    <row r="32" spans="1:9" ht="25.75" thickBot="1" x14ac:dyDescent="0.65">
      <c r="A32" s="7"/>
      <c r="B32" s="8"/>
    </row>
  </sheetData>
  <phoneticPr fontId="7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0CB7A-65A6-4C56-B94E-9D1955716FC7}">
  <dimension ref="A1:B29"/>
  <sheetViews>
    <sheetView rightToLeft="1" topLeftCell="AL1" workbookViewId="0">
      <selection activeCell="E6" sqref="E6"/>
    </sheetView>
  </sheetViews>
  <sheetFormatPr defaultRowHeight="12.45" x14ac:dyDescent="0.3"/>
  <cols>
    <col min="1" max="1" width="17" customWidth="1"/>
    <col min="2" max="2" width="21.84375" customWidth="1"/>
  </cols>
  <sheetData>
    <row r="1" spans="1:2" ht="22.75" x14ac:dyDescent="0.55000000000000004">
      <c r="A1" s="23" t="s">
        <v>19</v>
      </c>
      <c r="B1" s="23" t="s">
        <v>0</v>
      </c>
    </row>
    <row r="2" spans="1:2" ht="17.600000000000001" x14ac:dyDescent="0.4">
      <c r="A2" s="22" t="s">
        <v>1</v>
      </c>
      <c r="B2" s="24">
        <v>5000</v>
      </c>
    </row>
    <row r="3" spans="1:2" ht="17.600000000000001" x14ac:dyDescent="0.4">
      <c r="A3" s="22" t="s">
        <v>2</v>
      </c>
      <c r="B3" s="24">
        <v>715</v>
      </c>
    </row>
    <row r="4" spans="1:2" ht="17.600000000000001" x14ac:dyDescent="0.4">
      <c r="A4" s="22" t="s">
        <v>3</v>
      </c>
      <c r="B4" s="24">
        <v>1072</v>
      </c>
    </row>
    <row r="5" spans="1:2" ht="17.600000000000001" x14ac:dyDescent="0.4">
      <c r="A5" s="22" t="s">
        <v>5</v>
      </c>
      <c r="B5" s="24">
        <v>2162</v>
      </c>
    </row>
    <row r="6" spans="1:2" ht="17.600000000000001" x14ac:dyDescent="0.4">
      <c r="A6" s="22" t="s">
        <v>27</v>
      </c>
      <c r="B6" s="24">
        <v>1645</v>
      </c>
    </row>
    <row r="7" spans="1:2" ht="20.149999999999999" x14ac:dyDescent="0.5">
      <c r="A7" s="21" t="s">
        <v>6</v>
      </c>
      <c r="B7" s="21">
        <f>SUM(B2:B6)</f>
        <v>10594</v>
      </c>
    </row>
    <row r="8" spans="1:2" ht="17.600000000000001" x14ac:dyDescent="0.4">
      <c r="A8" s="22" t="s">
        <v>35</v>
      </c>
      <c r="B8" s="24">
        <v>5304</v>
      </c>
    </row>
    <row r="9" spans="1:2" ht="17.600000000000001" x14ac:dyDescent="0.4">
      <c r="A9" s="22" t="s">
        <v>10</v>
      </c>
      <c r="B9" s="24">
        <v>4512</v>
      </c>
    </row>
    <row r="10" spans="1:2" ht="20.149999999999999" x14ac:dyDescent="0.5">
      <c r="A10" s="21" t="s">
        <v>6</v>
      </c>
      <c r="B10" s="21">
        <f>SUM(B8:B9)</f>
        <v>9816</v>
      </c>
    </row>
    <row r="11" spans="1:2" ht="17.600000000000001" x14ac:dyDescent="0.4">
      <c r="A11" s="22" t="s">
        <v>24</v>
      </c>
      <c r="B11" s="22">
        <v>1449</v>
      </c>
    </row>
    <row r="12" spans="1:2" ht="17.600000000000001" x14ac:dyDescent="0.4">
      <c r="A12" s="22" t="s">
        <v>7</v>
      </c>
      <c r="B12" s="22">
        <v>2175</v>
      </c>
    </row>
    <row r="13" spans="1:2" ht="17.600000000000001" x14ac:dyDescent="0.4">
      <c r="A13" s="22" t="s">
        <v>33</v>
      </c>
      <c r="B13" s="22">
        <v>1716</v>
      </c>
    </row>
    <row r="14" spans="1:2" ht="17.600000000000001" x14ac:dyDescent="0.4">
      <c r="A14" s="22" t="s">
        <v>32</v>
      </c>
      <c r="B14" s="22">
        <v>1230</v>
      </c>
    </row>
    <row r="15" spans="1:2" ht="20.149999999999999" x14ac:dyDescent="0.5">
      <c r="A15" s="21" t="s">
        <v>6</v>
      </c>
      <c r="B15" s="21">
        <f>SUM(B11:B14)</f>
        <v>6570</v>
      </c>
    </row>
    <row r="16" spans="1:2" ht="17.600000000000001" x14ac:dyDescent="0.4">
      <c r="A16" s="22" t="s">
        <v>8</v>
      </c>
      <c r="B16" s="24">
        <v>2527</v>
      </c>
    </row>
    <row r="17" spans="1:2" ht="17.600000000000001" x14ac:dyDescent="0.4">
      <c r="A17" s="22" t="s">
        <v>9</v>
      </c>
      <c r="B17" s="24">
        <v>2142</v>
      </c>
    </row>
    <row r="18" spans="1:2" ht="17.600000000000001" x14ac:dyDescent="0.4">
      <c r="A18" s="22" t="s">
        <v>11</v>
      </c>
      <c r="B18" s="24">
        <v>2501</v>
      </c>
    </row>
    <row r="19" spans="1:2" ht="20.149999999999999" x14ac:dyDescent="0.5">
      <c r="A19" s="21" t="s">
        <v>6</v>
      </c>
      <c r="B19" s="21">
        <f>SUM(B16:B18)</f>
        <v>7170</v>
      </c>
    </row>
    <row r="20" spans="1:2" ht="17.600000000000001" x14ac:dyDescent="0.4">
      <c r="A20" s="22" t="s">
        <v>12</v>
      </c>
      <c r="B20" s="24">
        <v>8320</v>
      </c>
    </row>
    <row r="21" spans="1:2" ht="17.600000000000001" x14ac:dyDescent="0.4">
      <c r="A21" s="22" t="s">
        <v>14</v>
      </c>
      <c r="B21" s="24">
        <v>3772</v>
      </c>
    </row>
    <row r="22" spans="1:2" ht="17.600000000000001" x14ac:dyDescent="0.4">
      <c r="A22" s="22" t="s">
        <v>31</v>
      </c>
      <c r="B22" s="24">
        <v>734</v>
      </c>
    </row>
    <row r="23" spans="1:2" ht="17.600000000000001" x14ac:dyDescent="0.4">
      <c r="A23" s="22" t="s">
        <v>15</v>
      </c>
      <c r="B23" s="24">
        <v>2886</v>
      </c>
    </row>
    <row r="24" spans="1:2" ht="20.149999999999999" x14ac:dyDescent="0.5">
      <c r="A24" s="21" t="s">
        <v>6</v>
      </c>
      <c r="B24" s="21">
        <f>SUM(B20:B23)</f>
        <v>15712</v>
      </c>
    </row>
    <row r="25" spans="1:2" ht="17.600000000000001" x14ac:dyDescent="0.4">
      <c r="A25" s="22" t="s">
        <v>16</v>
      </c>
      <c r="B25" s="24">
        <v>1500</v>
      </c>
    </row>
    <row r="26" spans="1:2" ht="17.600000000000001" x14ac:dyDescent="0.4">
      <c r="A26" s="22" t="s">
        <v>17</v>
      </c>
      <c r="B26" s="24">
        <v>250</v>
      </c>
    </row>
    <row r="27" spans="1:2" ht="17.600000000000001" x14ac:dyDescent="0.4">
      <c r="A27" s="22" t="s">
        <v>18</v>
      </c>
      <c r="B27" s="24">
        <v>250</v>
      </c>
    </row>
    <row r="28" spans="1:2" ht="20.149999999999999" x14ac:dyDescent="0.5">
      <c r="A28" s="21" t="s">
        <v>6</v>
      </c>
      <c r="B28" s="21">
        <f>SUM(B25:B27)</f>
        <v>2000</v>
      </c>
    </row>
    <row r="29" spans="1:2" ht="25.75" thickBot="1" x14ac:dyDescent="0.65">
      <c r="A29" s="7" t="s">
        <v>6</v>
      </c>
      <c r="B29" s="8">
        <f>SUM(B28,B24,B19,B15,B10,B7)</f>
        <v>51862</v>
      </c>
    </row>
  </sheetData>
  <phoneticPr fontId="7" type="noConversion"/>
  <pageMargins left="0.75" right="0.75" top="1" bottom="1" header="0.5" footer="0.5"/>
  <pageSetup paperSize="9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E069A-3E8A-4B7F-87F6-654689522F04}">
  <dimension ref="A1:X36"/>
  <sheetViews>
    <sheetView rightToLeft="1" topLeftCell="E1" zoomScaleNormal="100" workbookViewId="0">
      <selection activeCell="B13" sqref="B13"/>
    </sheetView>
  </sheetViews>
  <sheetFormatPr defaultRowHeight="17.600000000000001" x14ac:dyDescent="0.3"/>
  <cols>
    <col min="1" max="1" width="16" style="28" bestFit="1" customWidth="1"/>
    <col min="2" max="2" width="9.15234375" style="28" bestFit="1" customWidth="1"/>
    <col min="3" max="3" width="13.15234375" style="28" bestFit="1" customWidth="1"/>
    <col min="4" max="4" width="14" style="28" bestFit="1" customWidth="1"/>
    <col min="5" max="5" width="12.84375" style="28" bestFit="1" customWidth="1"/>
    <col min="6" max="6" width="12.3046875" style="28" bestFit="1" customWidth="1"/>
    <col min="7" max="7" width="13.15234375" style="28" bestFit="1" customWidth="1"/>
    <col min="8" max="8" width="12.3046875" style="28" customWidth="1"/>
    <col min="9" max="9" width="7.53515625" style="28" customWidth="1"/>
    <col min="10" max="10" width="10.3828125" style="28" customWidth="1"/>
    <col min="11" max="11" width="7.53515625" style="28" bestFit="1" customWidth="1"/>
    <col min="12" max="12" width="9.15234375" style="28" bestFit="1" customWidth="1"/>
    <col min="13" max="14" width="13.69140625" style="28" bestFit="1" customWidth="1"/>
    <col min="15" max="17" width="12.3046875" style="28" customWidth="1"/>
    <col min="18" max="18" width="7.53515625" style="28" customWidth="1"/>
    <col min="19" max="19" width="9.15234375" style="28" bestFit="1" customWidth="1"/>
    <col min="20" max="20" width="10.69140625" style="28" bestFit="1" customWidth="1"/>
    <col min="22" max="23" width="12.3046875" style="28" customWidth="1"/>
  </cols>
  <sheetData>
    <row r="1" spans="1:24" x14ac:dyDescent="0.3">
      <c r="A1" s="32" t="s">
        <v>6</v>
      </c>
      <c r="B1" s="32" t="s">
        <v>39</v>
      </c>
      <c r="C1" s="32" t="s">
        <v>37</v>
      </c>
      <c r="D1" s="32" t="s">
        <v>38</v>
      </c>
      <c r="E1" s="33" t="s">
        <v>47</v>
      </c>
      <c r="F1" s="32" t="s">
        <v>42</v>
      </c>
      <c r="G1" s="32" t="s">
        <v>37</v>
      </c>
      <c r="H1" s="32" t="s">
        <v>38</v>
      </c>
      <c r="J1" s="41" t="s">
        <v>43</v>
      </c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28"/>
    </row>
    <row r="2" spans="1:24" x14ac:dyDescent="0.3">
      <c r="A2" s="32" t="s">
        <v>24</v>
      </c>
      <c r="B2" s="32">
        <v>1702</v>
      </c>
      <c r="C2" s="32">
        <f>SUM((B2*0.25))</f>
        <v>425.5</v>
      </c>
      <c r="D2" s="32">
        <f>SUM(C2,B2)</f>
        <v>2127.5</v>
      </c>
      <c r="E2" s="32">
        <f>SUM(B2*0.2)</f>
        <v>340.40000000000003</v>
      </c>
      <c r="F2" s="32">
        <f>SUM(B2+E2)</f>
        <v>2042.4</v>
      </c>
      <c r="G2" s="32">
        <f>SUM(F2*0.25)</f>
        <v>510.6</v>
      </c>
      <c r="H2" s="32">
        <f>SUM(F2:G2)</f>
        <v>2553</v>
      </c>
      <c r="J2" s="41" t="s">
        <v>40</v>
      </c>
      <c r="K2" s="41"/>
      <c r="L2" s="41"/>
      <c r="M2" s="41"/>
      <c r="N2" s="41"/>
      <c r="O2" s="41"/>
      <c r="P2" s="41"/>
      <c r="Q2" s="41" t="s">
        <v>41</v>
      </c>
      <c r="R2" s="41"/>
      <c r="S2" s="41"/>
      <c r="T2" s="41"/>
      <c r="U2" s="41"/>
      <c r="V2" s="41"/>
      <c r="W2" s="41"/>
    </row>
    <row r="3" spans="1:24" x14ac:dyDescent="0.3">
      <c r="A3" s="32" t="s">
        <v>7</v>
      </c>
      <c r="B3" s="32">
        <v>2428</v>
      </c>
      <c r="C3" s="32">
        <f t="shared" ref="C3:C14" si="0">SUM((B3*0.25))</f>
        <v>607</v>
      </c>
      <c r="D3" s="32">
        <f t="shared" ref="D3:D14" si="1">SUM(C3,B3)</f>
        <v>3035</v>
      </c>
      <c r="E3" s="32">
        <f>SUM(B3*0.2)</f>
        <v>485.6</v>
      </c>
      <c r="F3" s="32">
        <f>SUM(B3+E3)</f>
        <v>2913.6</v>
      </c>
      <c r="G3" s="32">
        <f t="shared" ref="G3:G5" si="2">SUM(F3*0.25)</f>
        <v>728.4</v>
      </c>
      <c r="H3" s="32">
        <f>SUM(F3:G3)</f>
        <v>3642</v>
      </c>
      <c r="J3" s="32" t="s">
        <v>39</v>
      </c>
      <c r="K3" s="33">
        <v>0.25</v>
      </c>
      <c r="L3" s="33" t="s">
        <v>38</v>
      </c>
      <c r="M3" s="33">
        <v>0.2</v>
      </c>
      <c r="N3" s="32" t="s">
        <v>42</v>
      </c>
      <c r="O3" s="33">
        <v>0.25</v>
      </c>
      <c r="P3" s="33" t="s">
        <v>38</v>
      </c>
      <c r="Q3" s="32" t="s">
        <v>39</v>
      </c>
      <c r="R3" s="33">
        <v>0.25</v>
      </c>
      <c r="S3" s="33" t="s">
        <v>38</v>
      </c>
      <c r="T3" s="33">
        <v>0.2</v>
      </c>
      <c r="U3" s="32" t="s">
        <v>42</v>
      </c>
      <c r="V3" s="33">
        <v>0.25</v>
      </c>
      <c r="W3" s="33" t="s">
        <v>38</v>
      </c>
    </row>
    <row r="4" spans="1:24" x14ac:dyDescent="0.3">
      <c r="A4" s="32" t="s">
        <v>33</v>
      </c>
      <c r="B4" s="32">
        <v>1969</v>
      </c>
      <c r="C4" s="32">
        <f t="shared" si="0"/>
        <v>492.25</v>
      </c>
      <c r="D4" s="32">
        <f t="shared" si="1"/>
        <v>2461.25</v>
      </c>
      <c r="E4" s="32">
        <f>SUM(B4*0.2)</f>
        <v>393.8</v>
      </c>
      <c r="F4" s="32">
        <f>SUM(B4+E4)</f>
        <v>2362.8000000000002</v>
      </c>
      <c r="G4" s="32">
        <f t="shared" si="2"/>
        <v>590.70000000000005</v>
      </c>
      <c r="H4" s="32">
        <f>SUM(F4:G4)</f>
        <v>2953.5</v>
      </c>
      <c r="J4" s="32">
        <v>156</v>
      </c>
      <c r="K4" s="32">
        <f>SUM(J4*0.25)</f>
        <v>39</v>
      </c>
      <c r="L4" s="32">
        <f>SUM(J4:K4)</f>
        <v>195</v>
      </c>
      <c r="M4" s="32">
        <f>SUM(J4*0.2)</f>
        <v>31.200000000000003</v>
      </c>
      <c r="N4" s="32">
        <f>SUM(M4,J4)</f>
        <v>187.2</v>
      </c>
      <c r="O4" s="32">
        <f>SUM(N4*0.25)</f>
        <v>46.8</v>
      </c>
      <c r="P4" s="32">
        <f>SUM(N4:O4)</f>
        <v>234</v>
      </c>
      <c r="Q4" s="32">
        <v>282</v>
      </c>
      <c r="R4" s="32">
        <f>SUM(Q4*0.25)</f>
        <v>70.5</v>
      </c>
      <c r="S4" s="32">
        <f>SUM(Q4:R4)</f>
        <v>352.5</v>
      </c>
      <c r="T4" s="32">
        <f>SUM(Q4*0.2)</f>
        <v>56.400000000000006</v>
      </c>
      <c r="U4" s="32">
        <f>SUM(T4,Q4)</f>
        <v>338.4</v>
      </c>
      <c r="V4" s="32">
        <f>SUM(U4*0.25)</f>
        <v>84.6</v>
      </c>
      <c r="W4" s="32">
        <f>SUM(U4:V4)</f>
        <v>423</v>
      </c>
    </row>
    <row r="5" spans="1:24" x14ac:dyDescent="0.3">
      <c r="A5" s="32" t="s">
        <v>32</v>
      </c>
      <c r="B5" s="32">
        <v>1250</v>
      </c>
      <c r="C5" s="32">
        <f t="shared" si="0"/>
        <v>312.5</v>
      </c>
      <c r="D5" s="32">
        <f t="shared" si="1"/>
        <v>1562.5</v>
      </c>
      <c r="E5" s="32">
        <f>SUM(B5*0.2)</f>
        <v>250</v>
      </c>
      <c r="F5" s="32">
        <f>SUM(B5+E5)</f>
        <v>1500</v>
      </c>
      <c r="G5" s="32">
        <f t="shared" si="2"/>
        <v>375</v>
      </c>
      <c r="H5" s="32">
        <f>SUM(F5:G5)</f>
        <v>1875</v>
      </c>
      <c r="J5" s="32">
        <f>SUM(J4*60)</f>
        <v>9360</v>
      </c>
      <c r="K5" s="32">
        <f>SUM(J5*0.25)</f>
        <v>2340</v>
      </c>
      <c r="L5" s="32">
        <f t="shared" ref="L5:L6" si="3">SUM(J5:K5)</f>
        <v>11700</v>
      </c>
      <c r="M5" s="32">
        <f>SUM(J5*0.2)</f>
        <v>1872</v>
      </c>
      <c r="N5" s="32">
        <f>SUM(M5,J5)</f>
        <v>11232</v>
      </c>
      <c r="O5" s="32">
        <f t="shared" ref="O5:O6" si="4">SUM(N5*0.25)</f>
        <v>2808</v>
      </c>
      <c r="P5" s="32">
        <f t="shared" ref="P5:P6" si="5">SUM(N5:O5)</f>
        <v>14040</v>
      </c>
      <c r="Q5" s="32">
        <f>SUM(Q4*12)</f>
        <v>3384</v>
      </c>
      <c r="R5" s="32">
        <f>SUM(Q5*0.25)</f>
        <v>846</v>
      </c>
      <c r="S5" s="32">
        <f t="shared" ref="S5:S6" si="6">SUM(Q5:R5)</f>
        <v>4230</v>
      </c>
      <c r="T5" s="32">
        <f>SUM(Q5*0.2)</f>
        <v>676.80000000000007</v>
      </c>
      <c r="U5" s="32">
        <f>SUM(T5,Q5)</f>
        <v>4060.8</v>
      </c>
      <c r="V5" s="32">
        <f t="shared" ref="V5:V6" si="7">SUM(U5*0.25)</f>
        <v>1015.2</v>
      </c>
      <c r="W5" s="32">
        <f t="shared" ref="W5:W6" si="8">SUM(U5:V5)</f>
        <v>5076</v>
      </c>
    </row>
    <row r="6" spans="1:24" x14ac:dyDescent="0.3">
      <c r="A6" s="34" t="s">
        <v>6</v>
      </c>
      <c r="B6" s="34">
        <f>SUM(B2:B5)</f>
        <v>7349</v>
      </c>
      <c r="C6" s="34">
        <f t="shared" si="0"/>
        <v>1837.25</v>
      </c>
      <c r="D6" s="34">
        <f t="shared" si="1"/>
        <v>9186.25</v>
      </c>
      <c r="E6" s="34">
        <f>SUM(E2:E5)</f>
        <v>1469.8</v>
      </c>
      <c r="F6" s="34">
        <f>SUM(F2:F5)</f>
        <v>8818.7999999999993</v>
      </c>
      <c r="G6" s="34">
        <f>SUM(G2:G5)</f>
        <v>2204.6999999999998</v>
      </c>
      <c r="H6" s="34">
        <f>SUM(H2:H5)</f>
        <v>11023.5</v>
      </c>
      <c r="J6" s="34">
        <f>SUM(J5)</f>
        <v>9360</v>
      </c>
      <c r="K6" s="34">
        <f>SUM(J6*0.25)</f>
        <v>2340</v>
      </c>
      <c r="L6" s="34">
        <f t="shared" si="3"/>
        <v>11700</v>
      </c>
      <c r="M6" s="34">
        <f t="shared" ref="M6" si="9">SUM(M5)</f>
        <v>1872</v>
      </c>
      <c r="N6" s="34">
        <f t="shared" ref="N6" si="10">SUM(M6,J6)</f>
        <v>11232</v>
      </c>
      <c r="O6" s="34">
        <f t="shared" si="4"/>
        <v>2808</v>
      </c>
      <c r="P6" s="34">
        <f t="shared" si="5"/>
        <v>14040</v>
      </c>
      <c r="Q6" s="34">
        <f>SUM(Q5)</f>
        <v>3384</v>
      </c>
      <c r="R6" s="34">
        <f t="shared" ref="R6" si="11">SUM(Q6*0.25)</f>
        <v>846</v>
      </c>
      <c r="S6" s="34">
        <f t="shared" si="6"/>
        <v>4230</v>
      </c>
      <c r="T6" s="34">
        <f t="shared" ref="T6" si="12">SUM(T5)</f>
        <v>676.80000000000007</v>
      </c>
      <c r="U6" s="34">
        <f>SUM(T6,Q6)</f>
        <v>4060.8</v>
      </c>
      <c r="V6" s="34">
        <f t="shared" si="7"/>
        <v>1015.2</v>
      </c>
      <c r="W6" s="34">
        <f t="shared" si="8"/>
        <v>5076</v>
      </c>
    </row>
    <row r="7" spans="1:24" x14ac:dyDescent="0.3">
      <c r="A7" s="32" t="s">
        <v>8</v>
      </c>
      <c r="B7" s="32">
        <v>2780</v>
      </c>
      <c r="C7" s="32">
        <f t="shared" si="0"/>
        <v>695</v>
      </c>
      <c r="D7" s="32">
        <f t="shared" si="1"/>
        <v>3475</v>
      </c>
      <c r="E7" s="32">
        <f>SUM(B7*0.2)</f>
        <v>556</v>
      </c>
      <c r="F7" s="32">
        <f>SUM(B7+E7)</f>
        <v>3336</v>
      </c>
      <c r="G7" s="32">
        <f t="shared" ref="G7:G14" si="13">SUM(F7*0.25)</f>
        <v>834</v>
      </c>
      <c r="H7" s="32">
        <f>SUM(F7:G7)</f>
        <v>4170</v>
      </c>
      <c r="M7" s="43" t="s">
        <v>50</v>
      </c>
      <c r="N7" s="43"/>
      <c r="O7" s="43"/>
      <c r="P7" s="43"/>
      <c r="Q7" s="39">
        <v>143</v>
      </c>
      <c r="R7" s="32">
        <f>SUM(Q7*0.25)</f>
        <v>35.75</v>
      </c>
      <c r="S7" s="32">
        <f>SUM(Q7:R7)</f>
        <v>178.75</v>
      </c>
      <c r="T7" s="32">
        <f>SUM(Q7*0.2)</f>
        <v>28.6</v>
      </c>
      <c r="U7" s="32">
        <f>SUM(T7,Q7)</f>
        <v>171.6</v>
      </c>
      <c r="V7" s="32">
        <f>SUM(U7*0.25)</f>
        <v>42.9</v>
      </c>
      <c r="W7" s="32">
        <f>SUM(U7:V7)</f>
        <v>214.5</v>
      </c>
    </row>
    <row r="8" spans="1:24" x14ac:dyDescent="0.3">
      <c r="A8" s="32" t="s">
        <v>9</v>
      </c>
      <c r="B8" s="32">
        <v>2395</v>
      </c>
      <c r="C8" s="32">
        <f t="shared" si="0"/>
        <v>598.75</v>
      </c>
      <c r="D8" s="32">
        <f t="shared" si="1"/>
        <v>2993.75</v>
      </c>
      <c r="E8" s="32">
        <f>SUM(B8*0.2)</f>
        <v>479</v>
      </c>
      <c r="F8" s="32">
        <f>SUM(B8+E8)</f>
        <v>2874</v>
      </c>
      <c r="G8" s="32">
        <f t="shared" si="13"/>
        <v>718.5</v>
      </c>
      <c r="H8" s="32">
        <f>SUM(F8:G8)</f>
        <v>3592.5</v>
      </c>
      <c r="M8" s="42" t="s">
        <v>51</v>
      </c>
      <c r="N8" s="42"/>
      <c r="O8" s="42" t="s">
        <v>52</v>
      </c>
      <c r="P8" s="42"/>
      <c r="Q8" s="28">
        <f>SUM(Q7*9)</f>
        <v>1287</v>
      </c>
      <c r="R8" s="32">
        <f>SUM(Q8*0.25)</f>
        <v>321.75</v>
      </c>
      <c r="S8" s="32">
        <f>SUM(Q8:R8)</f>
        <v>1608.75</v>
      </c>
      <c r="T8" s="32">
        <f>SUM(Q8*0.2)</f>
        <v>257.40000000000003</v>
      </c>
      <c r="U8" s="32">
        <f>SUM(T8,Q8)</f>
        <v>1544.4</v>
      </c>
      <c r="V8" s="32">
        <f>SUM(U8*0.25)</f>
        <v>386.1</v>
      </c>
      <c r="W8" s="32">
        <f>SUM(U8:V8)</f>
        <v>1930.5</v>
      </c>
    </row>
    <row r="9" spans="1:24" x14ac:dyDescent="0.3">
      <c r="A9" s="32" t="s">
        <v>11</v>
      </c>
      <c r="B9" s="32">
        <v>2543</v>
      </c>
      <c r="C9" s="32">
        <f t="shared" si="0"/>
        <v>635.75</v>
      </c>
      <c r="D9" s="32">
        <f t="shared" si="1"/>
        <v>3178.75</v>
      </c>
      <c r="E9" s="32">
        <f>SUM(B9*0.2)</f>
        <v>508.6</v>
      </c>
      <c r="F9" s="32">
        <f>SUM(B9+E9)</f>
        <v>3051.6</v>
      </c>
      <c r="G9" s="32">
        <f t="shared" si="13"/>
        <v>762.9</v>
      </c>
      <c r="H9" s="32">
        <f>SUM(F9:G9)</f>
        <v>3814.5</v>
      </c>
      <c r="M9" s="42">
        <f>SUM(N6-J6+U6-Q6)</f>
        <v>2548.8000000000002</v>
      </c>
      <c r="N9" s="42"/>
      <c r="O9" s="42">
        <f>SUM(O6-K6+V6-R6)</f>
        <v>637.20000000000005</v>
      </c>
      <c r="P9" s="42"/>
    </row>
    <row r="10" spans="1:24" x14ac:dyDescent="0.3">
      <c r="A10" s="34" t="s">
        <v>6</v>
      </c>
      <c r="B10" s="34">
        <f>SUM(B7:B9)</f>
        <v>7718</v>
      </c>
      <c r="C10" s="34">
        <f t="shared" si="0"/>
        <v>1929.5</v>
      </c>
      <c r="D10" s="34">
        <f t="shared" si="1"/>
        <v>9647.5</v>
      </c>
      <c r="E10" s="34">
        <f>SUM(E7:E9)</f>
        <v>1543.6</v>
      </c>
      <c r="F10" s="34">
        <f>SUM(F7:F9)</f>
        <v>9261.6</v>
      </c>
      <c r="G10" s="34">
        <f>SUM(G7:G9)</f>
        <v>2315.4</v>
      </c>
      <c r="H10" s="34">
        <f>SUM(H7:H9)</f>
        <v>11577</v>
      </c>
      <c r="M10" s="42">
        <f>SUM(U8-Q8)</f>
        <v>257.40000000000009</v>
      </c>
      <c r="N10" s="42"/>
      <c r="O10" s="42">
        <f>SUM(V8-R8)</f>
        <v>64.350000000000023</v>
      </c>
      <c r="P10" s="42"/>
    </row>
    <row r="11" spans="1:24" x14ac:dyDescent="0.3">
      <c r="A11" s="32" t="s">
        <v>12</v>
      </c>
      <c r="B11" s="32">
        <v>8320</v>
      </c>
      <c r="C11" s="32">
        <f t="shared" si="0"/>
        <v>2080</v>
      </c>
      <c r="D11" s="32">
        <f t="shared" si="1"/>
        <v>10400</v>
      </c>
      <c r="E11" s="32">
        <f>SUM(B11*0.2)</f>
        <v>1664</v>
      </c>
      <c r="F11" s="32">
        <f>SUM(B11+E11)</f>
        <v>9984</v>
      </c>
      <c r="G11" s="32">
        <f>SUM(F11*0.25)</f>
        <v>2496</v>
      </c>
      <c r="H11" s="32">
        <f>SUM(F11:G11)</f>
        <v>12480</v>
      </c>
      <c r="M11" s="42">
        <f>SUM(M9:N10)</f>
        <v>2806.2000000000003</v>
      </c>
      <c r="N11" s="42"/>
      <c r="O11" s="42">
        <f>SUM(O9:P10)</f>
        <v>701.55000000000007</v>
      </c>
      <c r="P11" s="42"/>
    </row>
    <row r="12" spans="1:24" x14ac:dyDescent="0.3">
      <c r="A12" s="32" t="s">
        <v>14</v>
      </c>
      <c r="B12" s="32">
        <v>3772</v>
      </c>
      <c r="C12" s="32">
        <f t="shared" si="0"/>
        <v>943</v>
      </c>
      <c r="D12" s="32">
        <f t="shared" si="1"/>
        <v>4715</v>
      </c>
      <c r="E12" s="32">
        <f>SUM(B12*0.2)</f>
        <v>754.40000000000009</v>
      </c>
      <c r="F12" s="32">
        <f>SUM(B12+E12)</f>
        <v>4526.3999999999996</v>
      </c>
      <c r="G12" s="32">
        <f t="shared" si="13"/>
        <v>1131.5999999999999</v>
      </c>
      <c r="H12" s="32">
        <f>SUM(F12:G12)</f>
        <v>5658</v>
      </c>
    </row>
    <row r="13" spans="1:24" x14ac:dyDescent="0.3">
      <c r="A13" s="32" t="s">
        <v>31</v>
      </c>
      <c r="B13" s="32">
        <v>1000</v>
      </c>
      <c r="C13" s="32">
        <f t="shared" si="0"/>
        <v>250</v>
      </c>
      <c r="D13" s="32">
        <f t="shared" si="1"/>
        <v>1250</v>
      </c>
      <c r="E13" s="32">
        <f>SUM(B13*0.2)</f>
        <v>200</v>
      </c>
      <c r="F13" s="32">
        <f>SUM(B13+E13)</f>
        <v>1200</v>
      </c>
      <c r="G13" s="32">
        <f t="shared" si="13"/>
        <v>300</v>
      </c>
      <c r="H13" s="32">
        <f>SUM(F13:G13)</f>
        <v>1500</v>
      </c>
    </row>
    <row r="14" spans="1:24" x14ac:dyDescent="0.3">
      <c r="A14" s="32" t="s">
        <v>15</v>
      </c>
      <c r="B14" s="32">
        <v>2608</v>
      </c>
      <c r="C14" s="32">
        <f t="shared" si="0"/>
        <v>652</v>
      </c>
      <c r="D14" s="32">
        <f t="shared" si="1"/>
        <v>3260</v>
      </c>
      <c r="E14" s="32">
        <f>SUM(B14*0.2)</f>
        <v>521.6</v>
      </c>
      <c r="F14" s="32">
        <f>SUM(B14+E14)</f>
        <v>3129.6</v>
      </c>
      <c r="G14" s="32">
        <f t="shared" si="13"/>
        <v>782.4</v>
      </c>
      <c r="H14" s="32">
        <f>SUM(F14:G14)</f>
        <v>3912</v>
      </c>
      <c r="N14" s="28" t="s">
        <v>44</v>
      </c>
      <c r="O14" s="28" t="s">
        <v>45</v>
      </c>
      <c r="P14" s="28" t="s">
        <v>38</v>
      </c>
    </row>
    <row r="15" spans="1:24" x14ac:dyDescent="0.3">
      <c r="A15" s="34" t="s">
        <v>6</v>
      </c>
      <c r="B15" s="34">
        <f t="shared" ref="B15:H15" si="14">SUM(B11:B14)</f>
        <v>15700</v>
      </c>
      <c r="C15" s="34">
        <f t="shared" si="14"/>
        <v>3925</v>
      </c>
      <c r="D15" s="34">
        <f t="shared" si="14"/>
        <v>19625</v>
      </c>
      <c r="E15" s="34">
        <f t="shared" si="14"/>
        <v>3140</v>
      </c>
      <c r="F15" s="34">
        <f t="shared" si="14"/>
        <v>18840</v>
      </c>
      <c r="G15" s="34">
        <f t="shared" si="14"/>
        <v>4710</v>
      </c>
      <c r="H15" s="34">
        <f t="shared" si="14"/>
        <v>23550</v>
      </c>
      <c r="M15" s="28" t="s">
        <v>48</v>
      </c>
      <c r="N15" s="30">
        <f>SUM(F17-B17)</f>
        <v>6153.3999999999942</v>
      </c>
      <c r="O15" s="30">
        <f>SUM(G17-C17)</f>
        <v>1538.3499999999985</v>
      </c>
      <c r="P15" s="30">
        <f>SUM(N15:O15)</f>
        <v>7691.7499999999927</v>
      </c>
      <c r="V15" s="30"/>
      <c r="W15" s="30"/>
    </row>
    <row r="16" spans="1:24" x14ac:dyDescent="0.3">
      <c r="A16" s="35"/>
      <c r="B16" s="35"/>
      <c r="C16" s="35"/>
      <c r="D16" s="35"/>
      <c r="E16" s="35"/>
      <c r="F16" s="35"/>
      <c r="G16" s="35"/>
      <c r="H16" s="35"/>
      <c r="I16" s="31"/>
      <c r="J16" s="31"/>
      <c r="K16" s="31"/>
      <c r="L16" s="31"/>
      <c r="M16" s="28" t="s">
        <v>43</v>
      </c>
      <c r="N16" s="30">
        <f>SUM(M11)</f>
        <v>2806.2000000000003</v>
      </c>
      <c r="O16" s="30">
        <f>SUM(O11)</f>
        <v>701.55000000000007</v>
      </c>
      <c r="P16" s="30">
        <f>SUM(N16:O16)</f>
        <v>3507.7500000000005</v>
      </c>
      <c r="Q16" s="31"/>
    </row>
    <row r="17" spans="1:16" x14ac:dyDescent="0.3">
      <c r="A17" s="34" t="s">
        <v>6</v>
      </c>
      <c r="B17" s="36">
        <f>SUM(B15,B10,B6)</f>
        <v>30767</v>
      </c>
      <c r="C17" s="36">
        <f t="shared" ref="C17:H17" si="15">SUM(C2:C5,C7,C8,C9,C11,C12,C13,C14)</f>
        <v>7691.75</v>
      </c>
      <c r="D17" s="37">
        <f t="shared" si="15"/>
        <v>38458.75</v>
      </c>
      <c r="E17" s="36">
        <f t="shared" si="15"/>
        <v>6153.4</v>
      </c>
      <c r="F17" s="36">
        <f t="shared" si="15"/>
        <v>36920.399999999994</v>
      </c>
      <c r="G17" s="36">
        <f t="shared" si="15"/>
        <v>9230.0999999999985</v>
      </c>
      <c r="H17" s="37">
        <f t="shared" si="15"/>
        <v>46150.5</v>
      </c>
    </row>
    <row r="18" spans="1:16" x14ac:dyDescent="0.3">
      <c r="A18" s="32"/>
      <c r="B18" s="32"/>
      <c r="C18" s="32"/>
      <c r="D18" s="32"/>
      <c r="E18" s="32"/>
      <c r="F18" s="32"/>
      <c r="G18" s="32" t="s">
        <v>46</v>
      </c>
      <c r="H18" s="37">
        <f>SUM(H17-D17)</f>
        <v>7691.75</v>
      </c>
      <c r="M18" s="28" t="s">
        <v>49</v>
      </c>
      <c r="N18" s="38">
        <f>SUM(N15:N17)</f>
        <v>8959.5999999999949</v>
      </c>
      <c r="O18" s="38">
        <f>SUM(O15:O17)</f>
        <v>2239.8999999999987</v>
      </c>
      <c r="P18" s="38">
        <f>SUM(P15:P17)</f>
        <v>11199.499999999993</v>
      </c>
    </row>
    <row r="36" spans="3:8" x14ac:dyDescent="0.3">
      <c r="C36" s="29">
        <f>SUM(J6)</f>
        <v>9360</v>
      </c>
      <c r="D36" s="29">
        <f>SUM(M6)</f>
        <v>1872</v>
      </c>
      <c r="E36" s="29">
        <f>SUM(N6)</f>
        <v>11232</v>
      </c>
      <c r="F36" s="29">
        <f>SUM(Q6)</f>
        <v>3384</v>
      </c>
      <c r="G36" s="29">
        <f>SUM(T6)</f>
        <v>676.80000000000007</v>
      </c>
      <c r="H36" s="29">
        <f>SUM(U6)</f>
        <v>4060.8</v>
      </c>
    </row>
  </sheetData>
  <mergeCells count="12">
    <mergeCell ref="M10:N10"/>
    <mergeCell ref="O10:P10"/>
    <mergeCell ref="M11:N11"/>
    <mergeCell ref="O11:P11"/>
    <mergeCell ref="J1:W1"/>
    <mergeCell ref="J2:P2"/>
    <mergeCell ref="Q2:W2"/>
    <mergeCell ref="M8:N8"/>
    <mergeCell ref="M9:N9"/>
    <mergeCell ref="O8:P8"/>
    <mergeCell ref="O9:P9"/>
    <mergeCell ref="M7:P7"/>
  </mergeCells>
  <conditionalFormatting sqref="D2:D14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{5E884364-EA3F-474C-A587-425784F6BDB5}</x14:id>
        </ext>
      </extLst>
    </cfRule>
  </conditionalFormatting>
  <conditionalFormatting sqref="H2:H15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{C15E2B54-D503-4608-8968-A78E91F2A3E8}</x14:id>
        </ext>
      </extLst>
    </cfRule>
  </conditionalFormatting>
  <conditionalFormatting sqref="L4:L6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{F1EA4F77-70C0-41DE-AD4E-4F0395509551}</x14:id>
        </ext>
      </extLst>
    </cfRule>
  </conditionalFormatting>
  <conditionalFormatting sqref="P4:P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{1951A757-1ECA-4ECD-8C41-A5C320B35A88}</x14:id>
        </ext>
      </extLst>
    </cfRule>
  </conditionalFormatting>
  <conditionalFormatting sqref="S4:S8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{AF25DD87-1B4D-48A2-BEFC-8FC75DC92D73}</x14:id>
        </ext>
      </extLst>
    </cfRule>
  </conditionalFormatting>
  <conditionalFormatting sqref="W4:W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{625C6885-0518-488E-A9D9-F8807F603664}</x14:id>
        </ext>
      </extLst>
    </cfRule>
  </conditionalFormatting>
  <pageMargins left="0.7" right="0.7" top="0.75" bottom="0.75" header="0.3" footer="0.3"/>
  <pageSetup paperSize="9" orientation="portrait" r:id="rId1"/>
  <ignoredErrors>
    <ignoredError sqref="E6:H6 E10:H10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E884364-EA3F-474C-A587-425784F6BDB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D2:D14</xm:sqref>
        </x14:conditionalFormatting>
        <x14:conditionalFormatting xmlns:xm="http://schemas.microsoft.com/office/excel/2006/main">
          <x14:cfRule type="dataBar" id="{C15E2B54-D503-4608-8968-A78E91F2A3E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H2:H15</xm:sqref>
        </x14:conditionalFormatting>
        <x14:conditionalFormatting xmlns:xm="http://schemas.microsoft.com/office/excel/2006/main">
          <x14:cfRule type="dataBar" id="{F1EA4F77-70C0-41DE-AD4E-4F03955095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L4:L6</xm:sqref>
        </x14:conditionalFormatting>
        <x14:conditionalFormatting xmlns:xm="http://schemas.microsoft.com/office/excel/2006/main">
          <x14:cfRule type="dataBar" id="{1951A757-1ECA-4ECD-8C41-A5C320B35A8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P4:P6</xm:sqref>
        </x14:conditionalFormatting>
        <x14:conditionalFormatting xmlns:xm="http://schemas.microsoft.com/office/excel/2006/main">
          <x14:cfRule type="dataBar" id="{AF25DD87-1B4D-48A2-BEFC-8FC75DC92D7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S4:S8</xm:sqref>
        </x14:conditionalFormatting>
        <x14:conditionalFormatting xmlns:xm="http://schemas.microsoft.com/office/excel/2006/main">
          <x14:cfRule type="dataBar" id="{625C6885-0518-488E-A9D9-F8807F60366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W4:W8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يناير</vt:lpstr>
      <vt:lpstr>فبراير</vt:lpstr>
      <vt:lpstr>مارس</vt:lpstr>
      <vt:lpstr>ابريل</vt:lpstr>
      <vt:lpstr>مايو</vt:lpstr>
      <vt:lpstr>يونيو</vt:lpstr>
      <vt:lpstr>يوليو</vt:lpstr>
      <vt:lpstr>اغسطس</vt:lpstr>
      <vt:lpstr>سبتمبر</vt:lpstr>
      <vt:lpstr>اكتوبر</vt:lpstr>
      <vt:lpstr>نوفمبر</vt:lpstr>
      <vt:lpstr>ديسمبر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Abu Omar</cp:lastModifiedBy>
  <cp:lastPrinted>2019-06-09T09:58:18Z</cp:lastPrinted>
  <dcterms:created xsi:type="dcterms:W3CDTF">2019-01-31T07:28:48Z</dcterms:created>
  <dcterms:modified xsi:type="dcterms:W3CDTF">2026-01-06T00:06:05Z</dcterms:modified>
</cp:coreProperties>
</file>