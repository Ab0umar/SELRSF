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891F5D74080A93A/Documents/SELRS/"/>
    </mc:Choice>
  </mc:AlternateContent>
  <xr:revisionPtr revIDLastSave="836" documentId="8_{1BBC1C36-88EE-42D3-992F-49B1DCE6E085}" xr6:coauthVersionLast="47" xr6:coauthVersionMax="47" xr10:uidLastSave="{44F183D1-F95A-4F17-8252-C11B791D65F3}"/>
  <bookViews>
    <workbookView xWindow="-120" yWindow="-120" windowWidth="20730" windowHeight="11040" xr2:uid="{975F206F-6148-492C-9774-E5F88F3ECDFA}"/>
  </bookViews>
  <sheets>
    <sheet name="All" sheetId="13" r:id="rId1"/>
    <sheet name="د السعدني" sheetId="7" r:id="rId2"/>
    <sheet name="انستا" sheetId="6" r:id="rId3"/>
    <sheet name="البيت" sheetId="8" r:id="rId4"/>
  </sheets>
  <functionGroups builtInGroupCount="19"/>
  <definedNames>
    <definedName name="_xleta.SUM" hidden="1" xlm="1">#NAME?</definedName>
    <definedName name="ExternalData_2" localSheetId="0" hidden="1">All!$C$1:$I$2823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33" i="13" l="1"/>
  <c r="B2833" i="13"/>
  <c r="B2832" i="13"/>
  <c r="A2829" i="13"/>
  <c r="A2830" i="13" s="1"/>
  <c r="B2829" i="13"/>
  <c r="B2830" i="13"/>
  <c r="B2831" i="13"/>
  <c r="B2828" i="13"/>
  <c r="B2824" i="13"/>
  <c r="B2825" i="13"/>
  <c r="B2826" i="13"/>
  <c r="B2827" i="13"/>
  <c r="B2797" i="13"/>
  <c r="B2823" i="13"/>
  <c r="B2798" i="13"/>
  <c r="B2799" i="13"/>
  <c r="B2800" i="13"/>
  <c r="B2801" i="13"/>
  <c r="B2802" i="13"/>
  <c r="B2803" i="13"/>
  <c r="B2804" i="13"/>
  <c r="B2805" i="13"/>
  <c r="B2806" i="13"/>
  <c r="B2807" i="13"/>
  <c r="B2808" i="13"/>
  <c r="B2809" i="13"/>
  <c r="B2810" i="13"/>
  <c r="B2811" i="13"/>
  <c r="B2812" i="13"/>
  <c r="B2813" i="13"/>
  <c r="B2814" i="13"/>
  <c r="B2815" i="13"/>
  <c r="B2816" i="13"/>
  <c r="B2817" i="13"/>
  <c r="B2818" i="13"/>
  <c r="B2819" i="13"/>
  <c r="B2820" i="13"/>
  <c r="B2821" i="13"/>
  <c r="B2822" i="13"/>
  <c r="M2803" i="13"/>
  <c r="M2805" i="13"/>
  <c r="M2825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2" i="13"/>
  <c r="B753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770" i="13"/>
  <c r="B771" i="13"/>
  <c r="B772" i="13"/>
  <c r="B773" i="13"/>
  <c r="B774" i="13"/>
  <c r="B775" i="13"/>
  <c r="B776" i="13"/>
  <c r="B777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801" i="13"/>
  <c r="B802" i="13"/>
  <c r="B803" i="13"/>
  <c r="B804" i="13"/>
  <c r="B805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26" i="13"/>
  <c r="B827" i="13"/>
  <c r="B828" i="13"/>
  <c r="B829" i="13"/>
  <c r="B830" i="13"/>
  <c r="B831" i="13"/>
  <c r="B832" i="13"/>
  <c r="B833" i="13"/>
  <c r="B834" i="13"/>
  <c r="B835" i="13"/>
  <c r="B836" i="13"/>
  <c r="B837" i="13"/>
  <c r="B838" i="13"/>
  <c r="B839" i="13"/>
  <c r="B840" i="13"/>
  <c r="B841" i="13"/>
  <c r="B842" i="13"/>
  <c r="B843" i="13"/>
  <c r="B844" i="13"/>
  <c r="B845" i="13"/>
  <c r="B846" i="13"/>
  <c r="B847" i="13"/>
  <c r="B848" i="13"/>
  <c r="B849" i="13"/>
  <c r="B850" i="13"/>
  <c r="B851" i="13"/>
  <c r="B852" i="13"/>
  <c r="B853" i="13"/>
  <c r="B854" i="13"/>
  <c r="B855" i="13"/>
  <c r="B856" i="13"/>
  <c r="B857" i="13"/>
  <c r="B858" i="13"/>
  <c r="B859" i="13"/>
  <c r="B860" i="13"/>
  <c r="B861" i="13"/>
  <c r="B862" i="13"/>
  <c r="B863" i="13"/>
  <c r="B864" i="13"/>
  <c r="B865" i="13"/>
  <c r="B866" i="13"/>
  <c r="B867" i="13"/>
  <c r="B868" i="13"/>
  <c r="B869" i="13"/>
  <c r="B870" i="13"/>
  <c r="B871" i="13"/>
  <c r="B872" i="13"/>
  <c r="B873" i="13"/>
  <c r="B874" i="13"/>
  <c r="B875" i="13"/>
  <c r="B876" i="13"/>
  <c r="B877" i="13"/>
  <c r="B878" i="13"/>
  <c r="B879" i="13"/>
  <c r="B880" i="13"/>
  <c r="B881" i="13"/>
  <c r="B882" i="13"/>
  <c r="B883" i="13"/>
  <c r="B884" i="13"/>
  <c r="B885" i="13"/>
  <c r="B886" i="13"/>
  <c r="B887" i="13"/>
  <c r="B888" i="13"/>
  <c r="B889" i="13"/>
  <c r="B890" i="13"/>
  <c r="B891" i="13"/>
  <c r="B892" i="13"/>
  <c r="B893" i="13"/>
  <c r="B894" i="13"/>
  <c r="B895" i="13"/>
  <c r="B896" i="13"/>
  <c r="B897" i="13"/>
  <c r="B898" i="13"/>
  <c r="B899" i="13"/>
  <c r="B900" i="13"/>
  <c r="B901" i="13"/>
  <c r="B902" i="13"/>
  <c r="B903" i="13"/>
  <c r="B904" i="13"/>
  <c r="B905" i="13"/>
  <c r="B906" i="13"/>
  <c r="B907" i="13"/>
  <c r="B908" i="13"/>
  <c r="B909" i="13"/>
  <c r="B910" i="13"/>
  <c r="B911" i="13"/>
  <c r="B912" i="13"/>
  <c r="B913" i="13"/>
  <c r="B914" i="13"/>
  <c r="B915" i="13"/>
  <c r="B916" i="13"/>
  <c r="B917" i="13"/>
  <c r="B918" i="13"/>
  <c r="B919" i="13"/>
  <c r="B920" i="13"/>
  <c r="B921" i="13"/>
  <c r="B922" i="13"/>
  <c r="B923" i="13"/>
  <c r="B924" i="13"/>
  <c r="B925" i="13"/>
  <c r="B926" i="13"/>
  <c r="B927" i="13"/>
  <c r="B928" i="13"/>
  <c r="B929" i="13"/>
  <c r="B930" i="13"/>
  <c r="B931" i="13"/>
  <c r="B932" i="13"/>
  <c r="B933" i="13"/>
  <c r="B934" i="13"/>
  <c r="B935" i="13"/>
  <c r="B936" i="13"/>
  <c r="B937" i="13"/>
  <c r="B938" i="13"/>
  <c r="B939" i="13"/>
  <c r="B940" i="13"/>
  <c r="B941" i="13"/>
  <c r="B942" i="13"/>
  <c r="B943" i="13"/>
  <c r="B944" i="13"/>
  <c r="B945" i="13"/>
  <c r="B946" i="13"/>
  <c r="B947" i="13"/>
  <c r="B948" i="13"/>
  <c r="B949" i="13"/>
  <c r="B950" i="13"/>
  <c r="B951" i="13"/>
  <c r="B952" i="13"/>
  <c r="B953" i="13"/>
  <c r="B954" i="13"/>
  <c r="B955" i="13"/>
  <c r="B956" i="13"/>
  <c r="B957" i="13"/>
  <c r="B958" i="13"/>
  <c r="B959" i="13"/>
  <c r="B960" i="13"/>
  <c r="B961" i="13"/>
  <c r="B962" i="13"/>
  <c r="B963" i="13"/>
  <c r="B964" i="13"/>
  <c r="B965" i="13"/>
  <c r="B966" i="13"/>
  <c r="B967" i="13"/>
  <c r="B968" i="13"/>
  <c r="B969" i="13"/>
  <c r="B970" i="13"/>
  <c r="B971" i="13"/>
  <c r="B972" i="13"/>
  <c r="B973" i="13"/>
  <c r="B974" i="13"/>
  <c r="B975" i="13"/>
  <c r="B976" i="13"/>
  <c r="B977" i="13"/>
  <c r="B978" i="13"/>
  <c r="B979" i="13"/>
  <c r="B980" i="13"/>
  <c r="B981" i="13"/>
  <c r="B982" i="13"/>
  <c r="B983" i="13"/>
  <c r="B984" i="13"/>
  <c r="B985" i="13"/>
  <c r="B986" i="13"/>
  <c r="B987" i="13"/>
  <c r="B988" i="13"/>
  <c r="B989" i="13"/>
  <c r="B990" i="13"/>
  <c r="B991" i="13"/>
  <c r="B992" i="13"/>
  <c r="B993" i="13"/>
  <c r="B994" i="13"/>
  <c r="B995" i="13"/>
  <c r="B996" i="13"/>
  <c r="B997" i="13"/>
  <c r="B998" i="13"/>
  <c r="B999" i="13"/>
  <c r="B1000" i="13"/>
  <c r="B1001" i="13"/>
  <c r="B1002" i="13"/>
  <c r="B1003" i="13"/>
  <c r="B1004" i="13"/>
  <c r="B1005" i="13"/>
  <c r="B1006" i="13"/>
  <c r="B1007" i="13"/>
  <c r="B1008" i="13"/>
  <c r="B1009" i="13"/>
  <c r="B1010" i="13"/>
  <c r="B1011" i="13"/>
  <c r="B1012" i="13"/>
  <c r="B1013" i="13"/>
  <c r="B1014" i="13"/>
  <c r="B1015" i="13"/>
  <c r="B1016" i="13"/>
  <c r="B1017" i="13"/>
  <c r="B1018" i="13"/>
  <c r="B1019" i="13"/>
  <c r="B1020" i="13"/>
  <c r="B1021" i="13"/>
  <c r="B1022" i="13"/>
  <c r="B1023" i="13"/>
  <c r="B1024" i="13"/>
  <c r="B1025" i="13"/>
  <c r="B1026" i="13"/>
  <c r="B1027" i="13"/>
  <c r="B1028" i="13"/>
  <c r="B1029" i="13"/>
  <c r="B1030" i="13"/>
  <c r="B1031" i="13"/>
  <c r="B1032" i="13"/>
  <c r="B1033" i="13"/>
  <c r="B1034" i="13"/>
  <c r="B1035" i="13"/>
  <c r="B1036" i="13"/>
  <c r="B1037" i="13"/>
  <c r="B1038" i="13"/>
  <c r="B1039" i="13"/>
  <c r="B1040" i="13"/>
  <c r="B1041" i="13"/>
  <c r="B1042" i="13"/>
  <c r="B1043" i="13"/>
  <c r="B1044" i="13"/>
  <c r="B1045" i="13"/>
  <c r="B1046" i="13"/>
  <c r="B1047" i="13"/>
  <c r="B1048" i="13"/>
  <c r="B1049" i="13"/>
  <c r="B1050" i="13"/>
  <c r="B1051" i="13"/>
  <c r="B1052" i="13"/>
  <c r="B1053" i="13"/>
  <c r="B1054" i="13"/>
  <c r="B1055" i="13"/>
  <c r="B1056" i="13"/>
  <c r="B1057" i="13"/>
  <c r="B1058" i="13"/>
  <c r="B1059" i="13"/>
  <c r="B1060" i="13"/>
  <c r="B1061" i="13"/>
  <c r="B1062" i="13"/>
  <c r="B1063" i="13"/>
  <c r="B1064" i="13"/>
  <c r="B1065" i="13"/>
  <c r="B1066" i="13"/>
  <c r="B1067" i="13"/>
  <c r="B1068" i="13"/>
  <c r="B1069" i="13"/>
  <c r="B1070" i="13"/>
  <c r="B1071" i="13"/>
  <c r="B1072" i="13"/>
  <c r="B1073" i="13"/>
  <c r="B1074" i="13"/>
  <c r="B1075" i="13"/>
  <c r="B1076" i="13"/>
  <c r="B1077" i="13"/>
  <c r="B1078" i="13"/>
  <c r="B1079" i="13"/>
  <c r="B1080" i="13"/>
  <c r="B1081" i="13"/>
  <c r="B1082" i="13"/>
  <c r="B1083" i="13"/>
  <c r="B1084" i="13"/>
  <c r="B1085" i="13"/>
  <c r="B1086" i="13"/>
  <c r="B1087" i="13"/>
  <c r="B1088" i="13"/>
  <c r="B1089" i="13"/>
  <c r="B1090" i="13"/>
  <c r="B1091" i="13"/>
  <c r="B1092" i="13"/>
  <c r="B1093" i="13"/>
  <c r="B1094" i="13"/>
  <c r="B1095" i="13"/>
  <c r="B1096" i="13"/>
  <c r="B1097" i="13"/>
  <c r="B1098" i="13"/>
  <c r="B1099" i="13"/>
  <c r="B1100" i="13"/>
  <c r="B1101" i="13"/>
  <c r="B1102" i="13"/>
  <c r="B1103" i="13"/>
  <c r="B1104" i="13"/>
  <c r="B1105" i="13"/>
  <c r="B1106" i="13"/>
  <c r="B1107" i="13"/>
  <c r="B1108" i="13"/>
  <c r="B1109" i="13"/>
  <c r="B1110" i="13"/>
  <c r="B1111" i="13"/>
  <c r="B1112" i="13"/>
  <c r="B1113" i="13"/>
  <c r="B1114" i="13"/>
  <c r="B1115" i="13"/>
  <c r="B1116" i="13"/>
  <c r="B1117" i="13"/>
  <c r="B1118" i="13"/>
  <c r="B1119" i="13"/>
  <c r="B1120" i="13"/>
  <c r="B1121" i="13"/>
  <c r="B1122" i="13"/>
  <c r="B1123" i="13"/>
  <c r="B1124" i="13"/>
  <c r="B1125" i="13"/>
  <c r="B1126" i="13"/>
  <c r="B1127" i="13"/>
  <c r="B1128" i="13"/>
  <c r="B1129" i="13"/>
  <c r="B1130" i="13"/>
  <c r="B1131" i="13"/>
  <c r="B1132" i="13"/>
  <c r="B1133" i="13"/>
  <c r="B1134" i="13"/>
  <c r="B1135" i="13"/>
  <c r="B1136" i="13"/>
  <c r="B1137" i="13"/>
  <c r="B1138" i="13"/>
  <c r="B1139" i="13"/>
  <c r="B1140" i="13"/>
  <c r="B1141" i="13"/>
  <c r="B1142" i="13"/>
  <c r="B1143" i="13"/>
  <c r="B1144" i="13"/>
  <c r="B1145" i="13"/>
  <c r="B1146" i="13"/>
  <c r="B1147" i="13"/>
  <c r="B1148" i="13"/>
  <c r="B1149" i="13"/>
  <c r="B1150" i="13"/>
  <c r="B1151" i="13"/>
  <c r="B1152" i="13"/>
  <c r="B1153" i="13"/>
  <c r="B1154" i="13"/>
  <c r="B1155" i="13"/>
  <c r="B1156" i="13"/>
  <c r="B1157" i="13"/>
  <c r="B1158" i="13"/>
  <c r="B1159" i="13"/>
  <c r="B1160" i="13"/>
  <c r="B1161" i="13"/>
  <c r="B1162" i="13"/>
  <c r="B1163" i="13"/>
  <c r="B1164" i="13"/>
  <c r="B1165" i="13"/>
  <c r="B1166" i="13"/>
  <c r="B1167" i="13"/>
  <c r="B1168" i="13"/>
  <c r="B1169" i="13"/>
  <c r="B1170" i="13"/>
  <c r="B1171" i="13"/>
  <c r="B1172" i="13"/>
  <c r="B1173" i="13"/>
  <c r="B1174" i="13"/>
  <c r="B1175" i="13"/>
  <c r="B1176" i="13"/>
  <c r="B1177" i="13"/>
  <c r="B1178" i="13"/>
  <c r="B1179" i="13"/>
  <c r="B1180" i="13"/>
  <c r="B1181" i="13"/>
  <c r="B1182" i="13"/>
  <c r="B1183" i="13"/>
  <c r="B1184" i="13"/>
  <c r="B1185" i="13"/>
  <c r="B1186" i="13"/>
  <c r="B1187" i="13"/>
  <c r="B1188" i="13"/>
  <c r="B1189" i="13"/>
  <c r="B1190" i="13"/>
  <c r="B1191" i="13"/>
  <c r="B1192" i="13"/>
  <c r="B1193" i="13"/>
  <c r="B1194" i="13"/>
  <c r="B1195" i="13"/>
  <c r="B1196" i="13"/>
  <c r="B1197" i="13"/>
  <c r="B1198" i="13"/>
  <c r="B1199" i="13"/>
  <c r="B1200" i="13"/>
  <c r="B1201" i="13"/>
  <c r="B1202" i="13"/>
  <c r="B1203" i="13"/>
  <c r="B1204" i="13"/>
  <c r="B1205" i="13"/>
  <c r="B1206" i="13"/>
  <c r="B1207" i="13"/>
  <c r="B1208" i="13"/>
  <c r="B1209" i="13"/>
  <c r="B1210" i="13"/>
  <c r="B1211" i="13"/>
  <c r="B1212" i="13"/>
  <c r="B1213" i="13"/>
  <c r="B1214" i="13"/>
  <c r="B1215" i="13"/>
  <c r="B1216" i="13"/>
  <c r="B1217" i="13"/>
  <c r="B1218" i="13"/>
  <c r="B1219" i="13"/>
  <c r="B1220" i="13"/>
  <c r="B1221" i="13"/>
  <c r="B1222" i="13"/>
  <c r="B1223" i="13"/>
  <c r="B1224" i="13"/>
  <c r="B1225" i="13"/>
  <c r="B1226" i="13"/>
  <c r="B1227" i="13"/>
  <c r="B1228" i="13"/>
  <c r="B1229" i="13"/>
  <c r="B1230" i="13"/>
  <c r="B1231" i="13"/>
  <c r="B1232" i="13"/>
  <c r="B1233" i="13"/>
  <c r="B1234" i="13"/>
  <c r="B1235" i="13"/>
  <c r="B1236" i="13"/>
  <c r="B1237" i="13"/>
  <c r="B1238" i="13"/>
  <c r="B1239" i="13"/>
  <c r="B1240" i="13"/>
  <c r="B1241" i="13"/>
  <c r="B1242" i="13"/>
  <c r="B1243" i="13"/>
  <c r="B1244" i="13"/>
  <c r="B1245" i="13"/>
  <c r="B1246" i="13"/>
  <c r="B1247" i="13"/>
  <c r="B1248" i="13"/>
  <c r="B1249" i="13"/>
  <c r="B1250" i="13"/>
  <c r="B1251" i="13"/>
  <c r="B1252" i="13"/>
  <c r="B1253" i="13"/>
  <c r="B1254" i="13"/>
  <c r="B1255" i="13"/>
  <c r="B1256" i="13"/>
  <c r="B1257" i="13"/>
  <c r="B1258" i="13"/>
  <c r="B1259" i="13"/>
  <c r="B1260" i="13"/>
  <c r="B1261" i="13"/>
  <c r="B1262" i="13"/>
  <c r="B1263" i="13"/>
  <c r="B1264" i="13"/>
  <c r="B1265" i="13"/>
  <c r="B1266" i="13"/>
  <c r="B1267" i="13"/>
  <c r="B1268" i="13"/>
  <c r="B1269" i="13"/>
  <c r="B1270" i="13"/>
  <c r="B1271" i="13"/>
  <c r="B1272" i="13"/>
  <c r="B1273" i="13"/>
  <c r="B1274" i="13"/>
  <c r="B1275" i="13"/>
  <c r="B1276" i="13"/>
  <c r="B1277" i="13"/>
  <c r="B1278" i="13"/>
  <c r="B1279" i="13"/>
  <c r="B1280" i="13"/>
  <c r="B1281" i="13"/>
  <c r="B1282" i="13"/>
  <c r="B1283" i="13"/>
  <c r="B1284" i="13"/>
  <c r="B1285" i="13"/>
  <c r="B1286" i="13"/>
  <c r="B1287" i="13"/>
  <c r="B1288" i="13"/>
  <c r="B1289" i="13"/>
  <c r="B1290" i="13"/>
  <c r="B1291" i="13"/>
  <c r="B1292" i="13"/>
  <c r="B1293" i="13"/>
  <c r="B1294" i="13"/>
  <c r="B1295" i="13"/>
  <c r="B1296" i="13"/>
  <c r="B1297" i="13"/>
  <c r="B1298" i="13"/>
  <c r="B1299" i="13"/>
  <c r="B1300" i="13"/>
  <c r="B1301" i="13"/>
  <c r="B1302" i="13"/>
  <c r="B1303" i="13"/>
  <c r="B1304" i="13"/>
  <c r="B1305" i="13"/>
  <c r="B1306" i="13"/>
  <c r="B1307" i="13"/>
  <c r="B1308" i="13"/>
  <c r="B1309" i="13"/>
  <c r="B1310" i="13"/>
  <c r="B1311" i="13"/>
  <c r="B1312" i="13"/>
  <c r="B1313" i="13"/>
  <c r="B1314" i="13"/>
  <c r="B1315" i="13"/>
  <c r="B1316" i="13"/>
  <c r="B1317" i="13"/>
  <c r="B1318" i="13"/>
  <c r="B1319" i="13"/>
  <c r="B1320" i="13"/>
  <c r="B1321" i="13"/>
  <c r="B1322" i="13"/>
  <c r="B1323" i="13"/>
  <c r="B1324" i="13"/>
  <c r="B1325" i="13"/>
  <c r="B1326" i="13"/>
  <c r="B1327" i="13"/>
  <c r="B1328" i="13"/>
  <c r="B1329" i="13"/>
  <c r="B1330" i="13"/>
  <c r="B1331" i="13"/>
  <c r="B1332" i="13"/>
  <c r="B1333" i="13"/>
  <c r="B1334" i="13"/>
  <c r="B1335" i="13"/>
  <c r="B1336" i="13"/>
  <c r="B1337" i="13"/>
  <c r="B1338" i="13"/>
  <c r="B1339" i="13"/>
  <c r="B1340" i="13"/>
  <c r="B1341" i="13"/>
  <c r="B1342" i="13"/>
  <c r="B1343" i="13"/>
  <c r="B1344" i="13"/>
  <c r="B1345" i="13"/>
  <c r="B1346" i="13"/>
  <c r="B1347" i="13"/>
  <c r="B1348" i="13"/>
  <c r="B1349" i="13"/>
  <c r="B1350" i="13"/>
  <c r="B1351" i="13"/>
  <c r="B1352" i="13"/>
  <c r="B1353" i="13"/>
  <c r="B1354" i="13"/>
  <c r="B1355" i="13"/>
  <c r="B1356" i="13"/>
  <c r="B1357" i="13"/>
  <c r="B1358" i="13"/>
  <c r="B1359" i="13"/>
  <c r="B1360" i="13"/>
  <c r="B1361" i="13"/>
  <c r="B1362" i="13"/>
  <c r="B1363" i="13"/>
  <c r="B1364" i="13"/>
  <c r="B1365" i="13"/>
  <c r="B1366" i="13"/>
  <c r="B1367" i="13"/>
  <c r="B1368" i="13"/>
  <c r="B1369" i="13"/>
  <c r="B1370" i="13"/>
  <c r="B1371" i="13"/>
  <c r="B1372" i="13"/>
  <c r="B1373" i="13"/>
  <c r="B1374" i="13"/>
  <c r="B1375" i="13"/>
  <c r="B1376" i="13"/>
  <c r="B1377" i="13"/>
  <c r="B1378" i="13"/>
  <c r="B1379" i="13"/>
  <c r="B1380" i="13"/>
  <c r="B1381" i="13"/>
  <c r="B1382" i="13"/>
  <c r="B1383" i="13"/>
  <c r="B1384" i="13"/>
  <c r="B1385" i="13"/>
  <c r="B1386" i="13"/>
  <c r="B1387" i="13"/>
  <c r="B1388" i="13"/>
  <c r="B1389" i="13"/>
  <c r="B1390" i="13"/>
  <c r="B1391" i="13"/>
  <c r="B1392" i="13"/>
  <c r="B1393" i="13"/>
  <c r="B1394" i="13"/>
  <c r="B1395" i="13"/>
  <c r="B1396" i="13"/>
  <c r="B1397" i="13"/>
  <c r="B1398" i="13"/>
  <c r="B1399" i="13"/>
  <c r="B1400" i="13"/>
  <c r="B1401" i="13"/>
  <c r="B1402" i="13"/>
  <c r="B1403" i="13"/>
  <c r="B1404" i="13"/>
  <c r="B1405" i="13"/>
  <c r="B1406" i="13"/>
  <c r="B1407" i="13"/>
  <c r="B1408" i="13"/>
  <c r="B1409" i="13"/>
  <c r="B1410" i="13"/>
  <c r="B1411" i="13"/>
  <c r="B1412" i="13"/>
  <c r="B1413" i="13"/>
  <c r="B1414" i="13"/>
  <c r="B1415" i="13"/>
  <c r="B1416" i="13"/>
  <c r="B1417" i="13"/>
  <c r="B1418" i="13"/>
  <c r="B1419" i="13"/>
  <c r="B1420" i="13"/>
  <c r="B1421" i="13"/>
  <c r="B1422" i="13"/>
  <c r="B1423" i="13"/>
  <c r="B1424" i="13"/>
  <c r="B1425" i="13"/>
  <c r="B1426" i="13"/>
  <c r="B1427" i="13"/>
  <c r="B1428" i="13"/>
  <c r="B1429" i="13"/>
  <c r="B1430" i="13"/>
  <c r="B1431" i="13"/>
  <c r="B1432" i="13"/>
  <c r="B1433" i="13"/>
  <c r="B1434" i="13"/>
  <c r="B1435" i="13"/>
  <c r="B1436" i="13"/>
  <c r="B1437" i="13"/>
  <c r="B1438" i="13"/>
  <c r="B1439" i="13"/>
  <c r="B1440" i="13"/>
  <c r="B1441" i="13"/>
  <c r="B1442" i="13"/>
  <c r="B1443" i="13"/>
  <c r="B1444" i="13"/>
  <c r="B1445" i="13"/>
  <c r="B1446" i="13"/>
  <c r="B1447" i="13"/>
  <c r="B1448" i="13"/>
  <c r="B1449" i="13"/>
  <c r="B1450" i="13"/>
  <c r="B1451" i="13"/>
  <c r="B1452" i="13"/>
  <c r="B1453" i="13"/>
  <c r="B1454" i="13"/>
  <c r="B1455" i="13"/>
  <c r="B1456" i="13"/>
  <c r="B1457" i="13"/>
  <c r="B1458" i="13"/>
  <c r="B1459" i="13"/>
  <c r="B1460" i="13"/>
  <c r="B1461" i="13"/>
  <c r="B1462" i="13"/>
  <c r="B1463" i="13"/>
  <c r="B1464" i="13"/>
  <c r="B1465" i="13"/>
  <c r="B1466" i="13"/>
  <c r="B1467" i="13"/>
  <c r="B1468" i="13"/>
  <c r="B1469" i="13"/>
  <c r="B1470" i="13"/>
  <c r="B1471" i="13"/>
  <c r="B1472" i="13"/>
  <c r="B1473" i="13"/>
  <c r="B1474" i="13"/>
  <c r="B1475" i="13"/>
  <c r="B1476" i="13"/>
  <c r="B1477" i="13"/>
  <c r="B1478" i="13"/>
  <c r="B1479" i="13"/>
  <c r="B1480" i="13"/>
  <c r="B1481" i="13"/>
  <c r="B1482" i="13"/>
  <c r="B1483" i="13"/>
  <c r="B1484" i="13"/>
  <c r="B1485" i="13"/>
  <c r="B1486" i="13"/>
  <c r="B1487" i="13"/>
  <c r="B1488" i="13"/>
  <c r="B1489" i="13"/>
  <c r="B1490" i="13"/>
  <c r="B1491" i="13"/>
  <c r="B1492" i="13"/>
  <c r="B1493" i="13"/>
  <c r="B1494" i="13"/>
  <c r="B1495" i="13"/>
  <c r="B1496" i="13"/>
  <c r="B1497" i="13"/>
  <c r="B1498" i="13"/>
  <c r="B1499" i="13"/>
  <c r="B1500" i="13"/>
  <c r="B1501" i="13"/>
  <c r="B1502" i="13"/>
  <c r="B1503" i="13"/>
  <c r="B1504" i="13"/>
  <c r="B1505" i="13"/>
  <c r="B1506" i="13"/>
  <c r="B1507" i="13"/>
  <c r="B1508" i="13"/>
  <c r="B1509" i="13"/>
  <c r="B1510" i="13"/>
  <c r="B1511" i="13"/>
  <c r="B1512" i="13"/>
  <c r="B1513" i="13"/>
  <c r="B1514" i="13"/>
  <c r="B1515" i="13"/>
  <c r="B1516" i="13"/>
  <c r="B1517" i="13"/>
  <c r="B1518" i="13"/>
  <c r="B1519" i="13"/>
  <c r="B1520" i="13"/>
  <c r="B1521" i="13"/>
  <c r="B1522" i="13"/>
  <c r="B1523" i="13"/>
  <c r="B1524" i="13"/>
  <c r="B1525" i="13"/>
  <c r="B1526" i="13"/>
  <c r="B1527" i="13"/>
  <c r="B1528" i="13"/>
  <c r="B1529" i="13"/>
  <c r="B1530" i="13"/>
  <c r="B1531" i="13"/>
  <c r="B1532" i="13"/>
  <c r="B1533" i="13"/>
  <c r="B1534" i="13"/>
  <c r="B1535" i="13"/>
  <c r="B1536" i="13"/>
  <c r="B1537" i="13"/>
  <c r="B1538" i="13"/>
  <c r="B1539" i="13"/>
  <c r="B1540" i="13"/>
  <c r="B1541" i="13"/>
  <c r="B1542" i="13"/>
  <c r="B1543" i="13"/>
  <c r="B1544" i="13"/>
  <c r="B1545" i="13"/>
  <c r="B1546" i="13"/>
  <c r="B1547" i="13"/>
  <c r="B1548" i="13"/>
  <c r="B1549" i="13"/>
  <c r="B1550" i="13"/>
  <c r="B1551" i="13"/>
  <c r="B1552" i="13"/>
  <c r="B1553" i="13"/>
  <c r="B1554" i="13"/>
  <c r="B1555" i="13"/>
  <c r="B1556" i="13"/>
  <c r="B1557" i="13"/>
  <c r="B1558" i="13"/>
  <c r="B1559" i="13"/>
  <c r="B1560" i="13"/>
  <c r="B1561" i="13"/>
  <c r="B1562" i="13"/>
  <c r="B1563" i="13"/>
  <c r="B1564" i="13"/>
  <c r="B1565" i="13"/>
  <c r="B1566" i="13"/>
  <c r="B1567" i="13"/>
  <c r="B1568" i="13"/>
  <c r="B1569" i="13"/>
  <c r="B1570" i="13"/>
  <c r="B1571" i="13"/>
  <c r="B1572" i="13"/>
  <c r="B1573" i="13"/>
  <c r="B1574" i="13"/>
  <c r="B1575" i="13"/>
  <c r="B1576" i="13"/>
  <c r="B1577" i="13"/>
  <c r="B1578" i="13"/>
  <c r="B1579" i="13"/>
  <c r="B1580" i="13"/>
  <c r="B1581" i="13"/>
  <c r="B1582" i="13"/>
  <c r="B1583" i="13"/>
  <c r="B1584" i="13"/>
  <c r="B1585" i="13"/>
  <c r="B1586" i="13"/>
  <c r="B1587" i="13"/>
  <c r="B1588" i="13"/>
  <c r="B1589" i="13"/>
  <c r="B1590" i="13"/>
  <c r="B1591" i="13"/>
  <c r="B1592" i="13"/>
  <c r="B1593" i="13"/>
  <c r="B1594" i="13"/>
  <c r="B1595" i="13"/>
  <c r="B1596" i="13"/>
  <c r="B1597" i="13"/>
  <c r="B1598" i="13"/>
  <c r="B1599" i="13"/>
  <c r="B1600" i="13"/>
  <c r="B1601" i="13"/>
  <c r="B1602" i="13"/>
  <c r="B1603" i="13"/>
  <c r="B1604" i="13"/>
  <c r="B1605" i="13"/>
  <c r="B1606" i="13"/>
  <c r="B1607" i="13"/>
  <c r="B1608" i="13"/>
  <c r="B1609" i="13"/>
  <c r="B1610" i="13"/>
  <c r="B1611" i="13"/>
  <c r="B1612" i="13"/>
  <c r="B1613" i="13"/>
  <c r="B1614" i="13"/>
  <c r="B1615" i="13"/>
  <c r="B1616" i="13"/>
  <c r="B1617" i="13"/>
  <c r="B1618" i="13"/>
  <c r="B1619" i="13"/>
  <c r="B1620" i="13"/>
  <c r="B1621" i="13"/>
  <c r="B1622" i="13"/>
  <c r="B1623" i="13"/>
  <c r="B1624" i="13"/>
  <c r="B1625" i="13"/>
  <c r="B1626" i="13"/>
  <c r="B1627" i="13"/>
  <c r="B1628" i="13"/>
  <c r="B1629" i="13"/>
  <c r="B1630" i="13"/>
  <c r="B1631" i="13"/>
  <c r="B1632" i="13"/>
  <c r="B1633" i="13"/>
  <c r="B1634" i="13"/>
  <c r="B1635" i="13"/>
  <c r="B1636" i="13"/>
  <c r="B1637" i="13"/>
  <c r="B1638" i="13"/>
  <c r="B1639" i="13"/>
  <c r="B1640" i="13"/>
  <c r="B1641" i="13"/>
  <c r="B1642" i="13"/>
  <c r="B1643" i="13"/>
  <c r="B1644" i="13"/>
  <c r="B1645" i="13"/>
  <c r="B1646" i="13"/>
  <c r="B1647" i="13"/>
  <c r="B1648" i="13"/>
  <c r="B1649" i="13"/>
  <c r="B1650" i="13"/>
  <c r="B1651" i="13"/>
  <c r="B1652" i="13"/>
  <c r="B1653" i="13"/>
  <c r="B1654" i="13"/>
  <c r="B1655" i="13"/>
  <c r="B1656" i="13"/>
  <c r="B1657" i="13"/>
  <c r="B1658" i="13"/>
  <c r="B1659" i="13"/>
  <c r="B1660" i="13"/>
  <c r="B1661" i="13"/>
  <c r="B1662" i="13"/>
  <c r="B1663" i="13"/>
  <c r="B1664" i="13"/>
  <c r="B1665" i="13"/>
  <c r="B1666" i="13"/>
  <c r="B1667" i="13"/>
  <c r="B1668" i="13"/>
  <c r="B1669" i="13"/>
  <c r="B1670" i="13"/>
  <c r="B1671" i="13"/>
  <c r="B1672" i="13"/>
  <c r="B1673" i="13"/>
  <c r="B1674" i="13"/>
  <c r="B1675" i="13"/>
  <c r="B1676" i="13"/>
  <c r="B1677" i="13"/>
  <c r="B1678" i="13"/>
  <c r="B1679" i="13"/>
  <c r="B1680" i="13"/>
  <c r="B1681" i="13"/>
  <c r="B1682" i="13"/>
  <c r="B1683" i="13"/>
  <c r="B1684" i="13"/>
  <c r="B1685" i="13"/>
  <c r="B1686" i="13"/>
  <c r="B1687" i="13"/>
  <c r="B1688" i="13"/>
  <c r="B1689" i="13"/>
  <c r="B1690" i="13"/>
  <c r="B1691" i="13"/>
  <c r="B1692" i="13"/>
  <c r="B1693" i="13"/>
  <c r="B1694" i="13"/>
  <c r="B1695" i="13"/>
  <c r="B1696" i="13"/>
  <c r="B1697" i="13"/>
  <c r="B1698" i="13"/>
  <c r="B1699" i="13"/>
  <c r="B1700" i="13"/>
  <c r="B1701" i="13"/>
  <c r="B1702" i="13"/>
  <c r="B1703" i="13"/>
  <c r="B1704" i="13"/>
  <c r="B1705" i="13"/>
  <c r="B1706" i="13"/>
  <c r="B1707" i="13"/>
  <c r="B1708" i="13"/>
  <c r="B1709" i="13"/>
  <c r="B1710" i="13"/>
  <c r="B1711" i="13"/>
  <c r="B1712" i="13"/>
  <c r="B1713" i="13"/>
  <c r="B1714" i="13"/>
  <c r="B1715" i="13"/>
  <c r="B1716" i="13"/>
  <c r="B1717" i="13"/>
  <c r="B1718" i="13"/>
  <c r="B1719" i="13"/>
  <c r="B1720" i="13"/>
  <c r="B1721" i="13"/>
  <c r="B1722" i="13"/>
  <c r="B1723" i="13"/>
  <c r="B1724" i="13"/>
  <c r="B1725" i="13"/>
  <c r="B1726" i="13"/>
  <c r="B1727" i="13"/>
  <c r="B1728" i="13"/>
  <c r="B1729" i="13"/>
  <c r="B1730" i="13"/>
  <c r="B1731" i="13"/>
  <c r="B1732" i="13"/>
  <c r="B1733" i="13"/>
  <c r="B1734" i="13"/>
  <c r="B1735" i="13"/>
  <c r="B1736" i="13"/>
  <c r="B1737" i="13"/>
  <c r="B1738" i="13"/>
  <c r="B1739" i="13"/>
  <c r="B1740" i="13"/>
  <c r="B1741" i="13"/>
  <c r="B1742" i="13"/>
  <c r="B1743" i="13"/>
  <c r="B1744" i="13"/>
  <c r="B1745" i="13"/>
  <c r="B1746" i="13"/>
  <c r="B1747" i="13"/>
  <c r="B1748" i="13"/>
  <c r="B1749" i="13"/>
  <c r="B1750" i="13"/>
  <c r="B1751" i="13"/>
  <c r="B1752" i="13"/>
  <c r="B1753" i="13"/>
  <c r="B1754" i="13"/>
  <c r="B1755" i="13"/>
  <c r="B1756" i="13"/>
  <c r="B1757" i="13"/>
  <c r="B1758" i="13"/>
  <c r="B1759" i="13"/>
  <c r="B1760" i="13"/>
  <c r="B1761" i="13"/>
  <c r="B1762" i="13"/>
  <c r="B1763" i="13"/>
  <c r="B1764" i="13"/>
  <c r="B1765" i="13"/>
  <c r="B1766" i="13"/>
  <c r="B1767" i="13"/>
  <c r="B1768" i="13"/>
  <c r="B1769" i="13"/>
  <c r="B1770" i="13"/>
  <c r="B1771" i="13"/>
  <c r="B1772" i="13"/>
  <c r="B1773" i="13"/>
  <c r="B1774" i="13"/>
  <c r="B1775" i="13"/>
  <c r="B1776" i="13"/>
  <c r="B1777" i="13"/>
  <c r="B1778" i="13"/>
  <c r="B1779" i="13"/>
  <c r="B1780" i="13"/>
  <c r="B1781" i="13"/>
  <c r="B1782" i="13"/>
  <c r="B1783" i="13"/>
  <c r="B1784" i="13"/>
  <c r="B1785" i="13"/>
  <c r="B1786" i="13"/>
  <c r="B1787" i="13"/>
  <c r="B1788" i="13"/>
  <c r="B1789" i="13"/>
  <c r="B1790" i="13"/>
  <c r="B1791" i="13"/>
  <c r="B1792" i="13"/>
  <c r="B1793" i="13"/>
  <c r="B1794" i="13"/>
  <c r="B1795" i="13"/>
  <c r="B1796" i="13"/>
  <c r="B1797" i="13"/>
  <c r="B1798" i="13"/>
  <c r="B1799" i="13"/>
  <c r="B1800" i="13"/>
  <c r="B1801" i="13"/>
  <c r="B1802" i="13"/>
  <c r="B1803" i="13"/>
  <c r="B1804" i="13"/>
  <c r="B1805" i="13"/>
  <c r="B1806" i="13"/>
  <c r="B1807" i="13"/>
  <c r="B1808" i="13"/>
  <c r="B1809" i="13"/>
  <c r="B1810" i="13"/>
  <c r="B1811" i="13"/>
  <c r="B1812" i="13"/>
  <c r="B1813" i="13"/>
  <c r="B1814" i="13"/>
  <c r="B1815" i="13"/>
  <c r="B1816" i="13"/>
  <c r="B1817" i="13"/>
  <c r="B1818" i="13"/>
  <c r="B1819" i="13"/>
  <c r="B1820" i="13"/>
  <c r="B1821" i="13"/>
  <c r="B1822" i="13"/>
  <c r="B1823" i="13"/>
  <c r="B1824" i="13"/>
  <c r="B1825" i="13"/>
  <c r="B1826" i="13"/>
  <c r="B1827" i="13"/>
  <c r="B1828" i="13"/>
  <c r="B1829" i="13"/>
  <c r="B1830" i="13"/>
  <c r="B1831" i="13"/>
  <c r="B1832" i="13"/>
  <c r="B1833" i="13"/>
  <c r="B1834" i="13"/>
  <c r="B1835" i="13"/>
  <c r="B1836" i="13"/>
  <c r="B1837" i="13"/>
  <c r="B1838" i="13"/>
  <c r="B1839" i="13"/>
  <c r="B1840" i="13"/>
  <c r="B1841" i="13"/>
  <c r="B1842" i="13"/>
  <c r="B1843" i="13"/>
  <c r="B1844" i="13"/>
  <c r="B1845" i="13"/>
  <c r="B1846" i="13"/>
  <c r="B1847" i="13"/>
  <c r="B1848" i="13"/>
  <c r="B1849" i="13"/>
  <c r="B1850" i="13"/>
  <c r="B1851" i="13"/>
  <c r="B1852" i="13"/>
  <c r="B1853" i="13"/>
  <c r="B1854" i="13"/>
  <c r="B1855" i="13"/>
  <c r="B1856" i="13"/>
  <c r="B1857" i="13"/>
  <c r="B1858" i="13"/>
  <c r="B1859" i="13"/>
  <c r="B1860" i="13"/>
  <c r="B1861" i="13"/>
  <c r="B1862" i="13"/>
  <c r="B1863" i="13"/>
  <c r="B1864" i="13"/>
  <c r="B1865" i="13"/>
  <c r="B1866" i="13"/>
  <c r="B1867" i="13"/>
  <c r="B1868" i="13"/>
  <c r="B1869" i="13"/>
  <c r="B1870" i="13"/>
  <c r="B1871" i="13"/>
  <c r="B1872" i="13"/>
  <c r="B1873" i="13"/>
  <c r="B1874" i="13"/>
  <c r="B1875" i="13"/>
  <c r="B1876" i="13"/>
  <c r="B1877" i="13"/>
  <c r="B1878" i="13"/>
  <c r="B1879" i="13"/>
  <c r="B1880" i="13"/>
  <c r="B1881" i="13"/>
  <c r="B1882" i="13"/>
  <c r="B1883" i="13"/>
  <c r="B1884" i="13"/>
  <c r="B1885" i="13"/>
  <c r="B1886" i="13"/>
  <c r="B1887" i="13"/>
  <c r="B1888" i="13"/>
  <c r="B1889" i="13"/>
  <c r="B1890" i="13"/>
  <c r="B1891" i="13"/>
  <c r="B1892" i="13"/>
  <c r="B1893" i="13"/>
  <c r="B1894" i="13"/>
  <c r="B1895" i="13"/>
  <c r="B1896" i="13"/>
  <c r="B1897" i="13"/>
  <c r="B1898" i="13"/>
  <c r="B1899" i="13"/>
  <c r="B1900" i="13"/>
  <c r="B1901" i="13"/>
  <c r="B1902" i="13"/>
  <c r="B1903" i="13"/>
  <c r="B1904" i="13"/>
  <c r="B1905" i="13"/>
  <c r="B1906" i="13"/>
  <c r="B1907" i="13"/>
  <c r="B1908" i="13"/>
  <c r="B1909" i="13"/>
  <c r="B1910" i="13"/>
  <c r="B1911" i="13"/>
  <c r="B1912" i="13"/>
  <c r="B1913" i="13"/>
  <c r="B1914" i="13"/>
  <c r="B1915" i="13"/>
  <c r="B1916" i="13"/>
  <c r="B1917" i="13"/>
  <c r="B1918" i="13"/>
  <c r="B1919" i="13"/>
  <c r="B1920" i="13"/>
  <c r="B1921" i="13"/>
  <c r="B1922" i="13"/>
  <c r="B1923" i="13"/>
  <c r="B1924" i="13"/>
  <c r="B1925" i="13"/>
  <c r="B1926" i="13"/>
  <c r="B1927" i="13"/>
  <c r="B1928" i="13"/>
  <c r="B1929" i="13"/>
  <c r="B1930" i="13"/>
  <c r="B1931" i="13"/>
  <c r="B1932" i="13"/>
  <c r="B1933" i="13"/>
  <c r="B1934" i="13"/>
  <c r="B1935" i="13"/>
  <c r="B1936" i="13"/>
  <c r="B1937" i="13"/>
  <c r="B1938" i="13"/>
  <c r="B1939" i="13"/>
  <c r="B1940" i="13"/>
  <c r="B1941" i="13"/>
  <c r="B1942" i="13"/>
  <c r="B1943" i="13"/>
  <c r="B1944" i="13"/>
  <c r="B1945" i="13"/>
  <c r="B1946" i="13"/>
  <c r="B1947" i="13"/>
  <c r="B1948" i="13"/>
  <c r="B1949" i="13"/>
  <c r="B1950" i="13"/>
  <c r="B1951" i="13"/>
  <c r="B1952" i="13"/>
  <c r="B1953" i="13"/>
  <c r="B1954" i="13"/>
  <c r="B1955" i="13"/>
  <c r="B1956" i="13"/>
  <c r="B1957" i="13"/>
  <c r="B1958" i="13"/>
  <c r="B1959" i="13"/>
  <c r="B1960" i="13"/>
  <c r="B1961" i="13"/>
  <c r="B1962" i="13"/>
  <c r="B1963" i="13"/>
  <c r="B1964" i="13"/>
  <c r="B1965" i="13"/>
  <c r="B1966" i="13"/>
  <c r="B1967" i="13"/>
  <c r="B1968" i="13"/>
  <c r="B1969" i="13"/>
  <c r="B1970" i="13"/>
  <c r="B1971" i="13"/>
  <c r="B1972" i="13"/>
  <c r="B1973" i="13"/>
  <c r="B1974" i="13"/>
  <c r="B1975" i="13"/>
  <c r="B1976" i="13"/>
  <c r="B1977" i="13"/>
  <c r="B1978" i="13"/>
  <c r="B1979" i="13"/>
  <c r="B1980" i="13"/>
  <c r="B1981" i="13"/>
  <c r="B1982" i="13"/>
  <c r="B1983" i="13"/>
  <c r="B1984" i="13"/>
  <c r="B1985" i="13"/>
  <c r="B1986" i="13"/>
  <c r="B1987" i="13"/>
  <c r="B1988" i="13"/>
  <c r="B1989" i="13"/>
  <c r="B1990" i="13"/>
  <c r="B1991" i="13"/>
  <c r="B1992" i="13"/>
  <c r="B1993" i="13"/>
  <c r="B1994" i="13"/>
  <c r="B1995" i="13"/>
  <c r="B1996" i="13"/>
  <c r="B1997" i="13"/>
  <c r="B1998" i="13"/>
  <c r="B1999" i="13"/>
  <c r="B2000" i="13"/>
  <c r="B2001" i="13"/>
  <c r="B2002" i="13"/>
  <c r="B2003" i="13"/>
  <c r="B2004" i="13"/>
  <c r="B2005" i="13"/>
  <c r="B2006" i="13"/>
  <c r="B2007" i="13"/>
  <c r="B2008" i="13"/>
  <c r="B2009" i="13"/>
  <c r="B2010" i="13"/>
  <c r="B2011" i="13"/>
  <c r="B2012" i="13"/>
  <c r="B2013" i="13"/>
  <c r="B2014" i="13"/>
  <c r="B2015" i="13"/>
  <c r="B2016" i="13"/>
  <c r="B2017" i="13"/>
  <c r="B2018" i="13"/>
  <c r="B2019" i="13"/>
  <c r="B2020" i="13"/>
  <c r="B2021" i="13"/>
  <c r="B2022" i="13"/>
  <c r="B2023" i="13"/>
  <c r="B2024" i="13"/>
  <c r="B2025" i="13"/>
  <c r="B2026" i="13"/>
  <c r="B2027" i="13"/>
  <c r="B2028" i="13"/>
  <c r="B2029" i="13"/>
  <c r="B2030" i="13"/>
  <c r="B2031" i="13"/>
  <c r="B2032" i="13"/>
  <c r="B2033" i="13"/>
  <c r="B2034" i="13"/>
  <c r="B2035" i="13"/>
  <c r="B2036" i="13"/>
  <c r="B2037" i="13"/>
  <c r="B2038" i="13"/>
  <c r="B2039" i="13"/>
  <c r="B2040" i="13"/>
  <c r="B2041" i="13"/>
  <c r="B2042" i="13"/>
  <c r="B2043" i="13"/>
  <c r="B2044" i="13"/>
  <c r="B2045" i="13"/>
  <c r="B2046" i="13"/>
  <c r="B2047" i="13"/>
  <c r="B2048" i="13"/>
  <c r="B2049" i="13"/>
  <c r="B2050" i="13"/>
  <c r="B2051" i="13"/>
  <c r="B2052" i="13"/>
  <c r="B2053" i="13"/>
  <c r="B2054" i="13"/>
  <c r="B2055" i="13"/>
  <c r="B2056" i="13"/>
  <c r="B2057" i="13"/>
  <c r="B2058" i="13"/>
  <c r="B2059" i="13"/>
  <c r="B2060" i="13"/>
  <c r="B2061" i="13"/>
  <c r="B2062" i="13"/>
  <c r="B2063" i="13"/>
  <c r="B2064" i="13"/>
  <c r="B2065" i="13"/>
  <c r="B2066" i="13"/>
  <c r="B2067" i="13"/>
  <c r="B2068" i="13"/>
  <c r="B2069" i="13"/>
  <c r="B2070" i="13"/>
  <c r="B2071" i="13"/>
  <c r="B2072" i="13"/>
  <c r="B2073" i="13"/>
  <c r="B2074" i="13"/>
  <c r="B2075" i="13"/>
  <c r="B2076" i="13"/>
  <c r="B2077" i="13"/>
  <c r="B2078" i="13"/>
  <c r="B2079" i="13"/>
  <c r="B2080" i="13"/>
  <c r="B2081" i="13"/>
  <c r="B2082" i="13"/>
  <c r="B2083" i="13"/>
  <c r="B2084" i="13"/>
  <c r="B2085" i="13"/>
  <c r="B2086" i="13"/>
  <c r="B2087" i="13"/>
  <c r="B2088" i="13"/>
  <c r="B2089" i="13"/>
  <c r="B2090" i="13"/>
  <c r="B2091" i="13"/>
  <c r="B2092" i="13"/>
  <c r="B2093" i="13"/>
  <c r="B2094" i="13"/>
  <c r="B2095" i="13"/>
  <c r="B2096" i="13"/>
  <c r="B2097" i="13"/>
  <c r="B2098" i="13"/>
  <c r="B2099" i="13"/>
  <c r="B2100" i="13"/>
  <c r="B2101" i="13"/>
  <c r="B2102" i="13"/>
  <c r="B2103" i="13"/>
  <c r="B2104" i="13"/>
  <c r="B2105" i="13"/>
  <c r="B2106" i="13"/>
  <c r="B2107" i="13"/>
  <c r="B2108" i="13"/>
  <c r="B2109" i="13"/>
  <c r="B2110" i="13"/>
  <c r="B2111" i="13"/>
  <c r="B2112" i="13"/>
  <c r="B2113" i="13"/>
  <c r="B2114" i="13"/>
  <c r="B2115" i="13"/>
  <c r="B2116" i="13"/>
  <c r="B2117" i="13"/>
  <c r="B2118" i="13"/>
  <c r="B2119" i="13"/>
  <c r="B2120" i="13"/>
  <c r="B2121" i="13"/>
  <c r="B2122" i="13"/>
  <c r="B2123" i="13"/>
  <c r="B2124" i="13"/>
  <c r="B2125" i="13"/>
  <c r="B2126" i="13"/>
  <c r="B2127" i="13"/>
  <c r="B2128" i="13"/>
  <c r="B2129" i="13"/>
  <c r="B2130" i="13"/>
  <c r="B2131" i="13"/>
  <c r="B2132" i="13"/>
  <c r="B2133" i="13"/>
  <c r="B2134" i="13"/>
  <c r="B2135" i="13"/>
  <c r="B2136" i="13"/>
  <c r="B2137" i="13"/>
  <c r="B2138" i="13"/>
  <c r="B2139" i="13"/>
  <c r="B2140" i="13"/>
  <c r="B2141" i="13"/>
  <c r="B2142" i="13"/>
  <c r="B2143" i="13"/>
  <c r="B2144" i="13"/>
  <c r="B2145" i="13"/>
  <c r="B2146" i="13"/>
  <c r="B2147" i="13"/>
  <c r="B2148" i="13"/>
  <c r="B2149" i="13"/>
  <c r="B2150" i="13"/>
  <c r="B2151" i="13"/>
  <c r="B2152" i="13"/>
  <c r="B2153" i="13"/>
  <c r="B2154" i="13"/>
  <c r="B2155" i="13"/>
  <c r="B2156" i="13"/>
  <c r="B2157" i="13"/>
  <c r="B2158" i="13"/>
  <c r="B2159" i="13"/>
  <c r="B2160" i="13"/>
  <c r="B2161" i="13"/>
  <c r="B2162" i="13"/>
  <c r="B2163" i="13"/>
  <c r="B2164" i="13"/>
  <c r="B2165" i="13"/>
  <c r="B2166" i="13"/>
  <c r="B2167" i="13"/>
  <c r="B2168" i="13"/>
  <c r="B2169" i="13"/>
  <c r="B2170" i="13"/>
  <c r="B2171" i="13"/>
  <c r="B2172" i="13"/>
  <c r="B2173" i="13"/>
  <c r="B2174" i="13"/>
  <c r="B2175" i="13"/>
  <c r="B2176" i="13"/>
  <c r="B2177" i="13"/>
  <c r="B2178" i="13"/>
  <c r="B2179" i="13"/>
  <c r="B2180" i="13"/>
  <c r="B2181" i="13"/>
  <c r="B2182" i="13"/>
  <c r="B2183" i="13"/>
  <c r="B2184" i="13"/>
  <c r="B2185" i="13"/>
  <c r="B2186" i="13"/>
  <c r="B2187" i="13"/>
  <c r="B2188" i="13"/>
  <c r="B2189" i="13"/>
  <c r="B2190" i="13"/>
  <c r="B2191" i="13"/>
  <c r="B2192" i="13"/>
  <c r="B2193" i="13"/>
  <c r="B2194" i="13"/>
  <c r="B2195" i="13"/>
  <c r="B2196" i="13"/>
  <c r="B2197" i="13"/>
  <c r="B2198" i="13"/>
  <c r="B2199" i="13"/>
  <c r="B2200" i="13"/>
  <c r="B2201" i="13"/>
  <c r="B2202" i="13"/>
  <c r="B2203" i="13"/>
  <c r="B2204" i="13"/>
  <c r="B2205" i="13"/>
  <c r="B2206" i="13"/>
  <c r="B2207" i="13"/>
  <c r="B2208" i="13"/>
  <c r="B2209" i="13"/>
  <c r="B2210" i="13"/>
  <c r="B2211" i="13"/>
  <c r="B2212" i="13"/>
  <c r="B2213" i="13"/>
  <c r="B2214" i="13"/>
  <c r="B2215" i="13"/>
  <c r="B2216" i="13"/>
  <c r="B2217" i="13"/>
  <c r="B2218" i="13"/>
  <c r="B2219" i="13"/>
  <c r="B2220" i="13"/>
  <c r="B2221" i="13"/>
  <c r="B2222" i="13"/>
  <c r="B2223" i="13"/>
  <c r="B2224" i="13"/>
  <c r="B2225" i="13"/>
  <c r="B2226" i="13"/>
  <c r="B2227" i="13"/>
  <c r="B2228" i="13"/>
  <c r="B2229" i="13"/>
  <c r="B2230" i="13"/>
  <c r="B2231" i="13"/>
  <c r="B2232" i="13"/>
  <c r="B2233" i="13"/>
  <c r="B2234" i="13"/>
  <c r="B2235" i="13"/>
  <c r="B2236" i="13"/>
  <c r="B2237" i="13"/>
  <c r="B2238" i="13"/>
  <c r="B2239" i="13"/>
  <c r="B2240" i="13"/>
  <c r="B2241" i="13"/>
  <c r="B2242" i="13"/>
  <c r="B2243" i="13"/>
  <c r="B2244" i="13"/>
  <c r="B2245" i="13"/>
  <c r="B2246" i="13"/>
  <c r="B2247" i="13"/>
  <c r="B2248" i="13"/>
  <c r="B2249" i="13"/>
  <c r="B2250" i="13"/>
  <c r="B2251" i="13"/>
  <c r="B2252" i="13"/>
  <c r="B2253" i="13"/>
  <c r="B2254" i="13"/>
  <c r="B2255" i="13"/>
  <c r="B2256" i="13"/>
  <c r="B2257" i="13"/>
  <c r="B2258" i="13"/>
  <c r="B2259" i="13"/>
  <c r="B2260" i="13"/>
  <c r="B2261" i="13"/>
  <c r="B2262" i="13"/>
  <c r="B2263" i="13"/>
  <c r="B2264" i="13"/>
  <c r="B2265" i="13"/>
  <c r="B2266" i="13"/>
  <c r="B2267" i="13"/>
  <c r="B2268" i="13"/>
  <c r="B2269" i="13"/>
  <c r="B2270" i="13"/>
  <c r="B2271" i="13"/>
  <c r="B2272" i="13"/>
  <c r="B2273" i="13"/>
  <c r="B2274" i="13"/>
  <c r="B2275" i="13"/>
  <c r="B2276" i="13"/>
  <c r="B2277" i="13"/>
  <c r="B2278" i="13"/>
  <c r="B2279" i="13"/>
  <c r="B2280" i="13"/>
  <c r="B2281" i="13"/>
  <c r="B2282" i="13"/>
  <c r="B2283" i="13"/>
  <c r="B2284" i="13"/>
  <c r="B2285" i="13"/>
  <c r="B2286" i="13"/>
  <c r="B2287" i="13"/>
  <c r="B2288" i="13"/>
  <c r="B2289" i="13"/>
  <c r="B2290" i="13"/>
  <c r="B2291" i="13"/>
  <c r="B2292" i="13"/>
  <c r="B2293" i="13"/>
  <c r="B2294" i="13"/>
  <c r="B2295" i="13"/>
  <c r="B2296" i="13"/>
  <c r="B2297" i="13"/>
  <c r="B2298" i="13"/>
  <c r="B2299" i="13"/>
  <c r="B2300" i="13"/>
  <c r="B2301" i="13"/>
  <c r="B2302" i="13"/>
  <c r="B2303" i="13"/>
  <c r="B2304" i="13"/>
  <c r="B2305" i="13"/>
  <c r="B2306" i="13"/>
  <c r="B2307" i="13"/>
  <c r="B2308" i="13"/>
  <c r="B2309" i="13"/>
  <c r="B2310" i="13"/>
  <c r="B2311" i="13"/>
  <c r="B2312" i="13"/>
  <c r="B2313" i="13"/>
  <c r="B2314" i="13"/>
  <c r="B2315" i="13"/>
  <c r="B2316" i="13"/>
  <c r="B2317" i="13"/>
  <c r="B2318" i="13"/>
  <c r="B2319" i="13"/>
  <c r="B2320" i="13"/>
  <c r="B2321" i="13"/>
  <c r="B2322" i="13"/>
  <c r="B2323" i="13"/>
  <c r="B2324" i="13"/>
  <c r="B2325" i="13"/>
  <c r="B2326" i="13"/>
  <c r="B2327" i="13"/>
  <c r="B2328" i="13"/>
  <c r="B2329" i="13"/>
  <c r="B2330" i="13"/>
  <c r="B2331" i="13"/>
  <c r="B2332" i="13"/>
  <c r="B2333" i="13"/>
  <c r="B2334" i="13"/>
  <c r="B2335" i="13"/>
  <c r="B2336" i="13"/>
  <c r="B2337" i="13"/>
  <c r="B2338" i="13"/>
  <c r="B2339" i="13"/>
  <c r="B2340" i="13"/>
  <c r="B2341" i="13"/>
  <c r="B2342" i="13"/>
  <c r="B2343" i="13"/>
  <c r="B2344" i="13"/>
  <c r="B2345" i="13"/>
  <c r="B2346" i="13"/>
  <c r="B2347" i="13"/>
  <c r="B2348" i="13"/>
  <c r="B2349" i="13"/>
  <c r="B2350" i="13"/>
  <c r="B2351" i="13"/>
  <c r="B2352" i="13"/>
  <c r="B2353" i="13"/>
  <c r="B2354" i="13"/>
  <c r="B2355" i="13"/>
  <c r="B2356" i="13"/>
  <c r="B2357" i="13"/>
  <c r="B2358" i="13"/>
  <c r="B2359" i="13"/>
  <c r="B2360" i="13"/>
  <c r="B2361" i="13"/>
  <c r="B2362" i="13"/>
  <c r="B2363" i="13"/>
  <c r="B2364" i="13"/>
  <c r="B2365" i="13"/>
  <c r="B2366" i="13"/>
  <c r="B2367" i="13"/>
  <c r="B2368" i="13"/>
  <c r="B2369" i="13"/>
  <c r="B2370" i="13"/>
  <c r="B2371" i="13"/>
  <c r="B2372" i="13"/>
  <c r="B2373" i="13"/>
  <c r="B2374" i="13"/>
  <c r="B2375" i="13"/>
  <c r="B2376" i="13"/>
  <c r="B2377" i="13"/>
  <c r="B2378" i="13"/>
  <c r="B2379" i="13"/>
  <c r="B2380" i="13"/>
  <c r="B2381" i="13"/>
  <c r="B2382" i="13"/>
  <c r="B2383" i="13"/>
  <c r="B2384" i="13"/>
  <c r="B2385" i="13"/>
  <c r="B2386" i="13"/>
  <c r="B2387" i="13"/>
  <c r="B2388" i="13"/>
  <c r="B2389" i="13"/>
  <c r="B2390" i="13"/>
  <c r="B2391" i="13"/>
  <c r="B2392" i="13"/>
  <c r="B2393" i="13"/>
  <c r="B2394" i="13"/>
  <c r="B2395" i="13"/>
  <c r="B2396" i="13"/>
  <c r="B2397" i="13"/>
  <c r="B2398" i="13"/>
  <c r="B2399" i="13"/>
  <c r="B2400" i="13"/>
  <c r="B2401" i="13"/>
  <c r="B2402" i="13"/>
  <c r="B2403" i="13"/>
  <c r="B2404" i="13"/>
  <c r="B2405" i="13"/>
  <c r="B2406" i="13"/>
  <c r="B2407" i="13"/>
  <c r="B2408" i="13"/>
  <c r="B2409" i="13"/>
  <c r="B2410" i="13"/>
  <c r="B2411" i="13"/>
  <c r="B2412" i="13"/>
  <c r="B2413" i="13"/>
  <c r="B2414" i="13"/>
  <c r="B2415" i="13"/>
  <c r="B2416" i="13"/>
  <c r="B2417" i="13"/>
  <c r="B2418" i="13"/>
  <c r="B2419" i="13"/>
  <c r="B2420" i="13"/>
  <c r="B2421" i="13"/>
  <c r="B2422" i="13"/>
  <c r="B2423" i="13"/>
  <c r="B2424" i="13"/>
  <c r="B2425" i="13"/>
  <c r="B2426" i="13"/>
  <c r="B2427" i="13"/>
  <c r="B2428" i="13"/>
  <c r="B2429" i="13"/>
  <c r="B2430" i="13"/>
  <c r="B2431" i="13"/>
  <c r="B2432" i="13"/>
  <c r="B2433" i="13"/>
  <c r="B2434" i="13"/>
  <c r="B2435" i="13"/>
  <c r="B2436" i="13"/>
  <c r="B2437" i="13"/>
  <c r="B2438" i="13"/>
  <c r="B2439" i="13"/>
  <c r="B2440" i="13"/>
  <c r="B2441" i="13"/>
  <c r="B2442" i="13"/>
  <c r="B2443" i="13"/>
  <c r="B2444" i="13"/>
  <c r="B2445" i="13"/>
  <c r="B2446" i="13"/>
  <c r="B2447" i="13"/>
  <c r="B2448" i="13"/>
  <c r="B2449" i="13"/>
  <c r="B2450" i="13"/>
  <c r="B2451" i="13"/>
  <c r="B2452" i="13"/>
  <c r="B2453" i="13"/>
  <c r="B2454" i="13"/>
  <c r="B2455" i="13"/>
  <c r="B2456" i="13"/>
  <c r="B2457" i="13"/>
  <c r="B2458" i="13"/>
  <c r="B2459" i="13"/>
  <c r="B2460" i="13"/>
  <c r="B2461" i="13"/>
  <c r="B2462" i="13"/>
  <c r="B2463" i="13"/>
  <c r="B2464" i="13"/>
  <c r="B2465" i="13"/>
  <c r="B2466" i="13"/>
  <c r="B2467" i="13"/>
  <c r="B2468" i="13"/>
  <c r="B2469" i="13"/>
  <c r="B2470" i="13"/>
  <c r="B2471" i="13"/>
  <c r="B2472" i="13"/>
  <c r="B2473" i="13"/>
  <c r="B2474" i="13"/>
  <c r="B2475" i="13"/>
  <c r="B2476" i="13"/>
  <c r="B2477" i="13"/>
  <c r="B2478" i="13"/>
  <c r="B2479" i="13"/>
  <c r="B2480" i="13"/>
  <c r="B2481" i="13"/>
  <c r="B2482" i="13"/>
  <c r="B2483" i="13"/>
  <c r="B2484" i="13"/>
  <c r="B2485" i="13"/>
  <c r="B2486" i="13"/>
  <c r="B2487" i="13"/>
  <c r="B2488" i="13"/>
  <c r="B2489" i="13"/>
  <c r="B2490" i="13"/>
  <c r="B2491" i="13"/>
  <c r="B2492" i="13"/>
  <c r="B2493" i="13"/>
  <c r="B2494" i="13"/>
  <c r="B2495" i="13"/>
  <c r="B2496" i="13"/>
  <c r="B2497" i="13"/>
  <c r="B2498" i="13"/>
  <c r="B2499" i="13"/>
  <c r="B2500" i="13"/>
  <c r="B2501" i="13"/>
  <c r="B2502" i="13"/>
  <c r="B2503" i="13"/>
  <c r="B2504" i="13"/>
  <c r="B2505" i="13"/>
  <c r="B2506" i="13"/>
  <c r="B2507" i="13"/>
  <c r="B2508" i="13"/>
  <c r="B2509" i="13"/>
  <c r="B2510" i="13"/>
  <c r="B2511" i="13"/>
  <c r="B2512" i="13"/>
  <c r="B2513" i="13"/>
  <c r="B2514" i="13"/>
  <c r="B2515" i="13"/>
  <c r="B2516" i="13"/>
  <c r="B2517" i="13"/>
  <c r="B2518" i="13"/>
  <c r="B2519" i="13"/>
  <c r="B2520" i="13"/>
  <c r="B2521" i="13"/>
  <c r="B2522" i="13"/>
  <c r="B2523" i="13"/>
  <c r="B2524" i="13"/>
  <c r="B2525" i="13"/>
  <c r="B2526" i="13"/>
  <c r="B2527" i="13"/>
  <c r="B2528" i="13"/>
  <c r="B2529" i="13"/>
  <c r="B2530" i="13"/>
  <c r="B2531" i="13"/>
  <c r="B2532" i="13"/>
  <c r="B2533" i="13"/>
  <c r="B2534" i="13"/>
  <c r="B2535" i="13"/>
  <c r="B2536" i="13"/>
  <c r="B2537" i="13"/>
  <c r="B2538" i="13"/>
  <c r="B2539" i="13"/>
  <c r="B2540" i="13"/>
  <c r="B2541" i="13"/>
  <c r="B2542" i="13"/>
  <c r="B2543" i="13"/>
  <c r="B2544" i="13"/>
  <c r="B2545" i="13"/>
  <c r="B2546" i="13"/>
  <c r="B2547" i="13"/>
  <c r="B2548" i="13"/>
  <c r="B2549" i="13"/>
  <c r="B2550" i="13"/>
  <c r="B2551" i="13"/>
  <c r="B2552" i="13"/>
  <c r="B2553" i="13"/>
  <c r="B2554" i="13"/>
  <c r="B2555" i="13"/>
  <c r="B2556" i="13"/>
  <c r="B2557" i="13"/>
  <c r="B2558" i="13"/>
  <c r="B2559" i="13"/>
  <c r="B2560" i="13"/>
  <c r="B2561" i="13"/>
  <c r="B2562" i="13"/>
  <c r="B2563" i="13"/>
  <c r="B2564" i="13"/>
  <c r="B2565" i="13"/>
  <c r="B2566" i="13"/>
  <c r="B2567" i="13"/>
  <c r="B2568" i="13"/>
  <c r="B2569" i="13"/>
  <c r="B2570" i="13"/>
  <c r="B2571" i="13"/>
  <c r="B2572" i="13"/>
  <c r="B2573" i="13"/>
  <c r="B2574" i="13"/>
  <c r="B2575" i="13"/>
  <c r="B2576" i="13"/>
  <c r="B2577" i="13"/>
  <c r="B2578" i="13"/>
  <c r="B2579" i="13"/>
  <c r="B2580" i="13"/>
  <c r="B2581" i="13"/>
  <c r="B2582" i="13"/>
  <c r="B2583" i="13"/>
  <c r="B2584" i="13"/>
  <c r="B2585" i="13"/>
  <c r="B2586" i="13"/>
  <c r="B2587" i="13"/>
  <c r="B2588" i="13"/>
  <c r="B2589" i="13"/>
  <c r="B2590" i="13"/>
  <c r="B2591" i="13"/>
  <c r="B2592" i="13"/>
  <c r="B2593" i="13"/>
  <c r="B2594" i="13"/>
  <c r="B2595" i="13"/>
  <c r="B2596" i="13"/>
  <c r="B2597" i="13"/>
  <c r="B2598" i="13"/>
  <c r="B2599" i="13"/>
  <c r="B2600" i="13"/>
  <c r="B2601" i="13"/>
  <c r="B2602" i="13"/>
  <c r="B2603" i="13"/>
  <c r="B2604" i="13"/>
  <c r="B2605" i="13"/>
  <c r="B2606" i="13"/>
  <c r="B2607" i="13"/>
  <c r="B2608" i="13"/>
  <c r="B2609" i="13"/>
  <c r="B2610" i="13"/>
  <c r="B2611" i="13"/>
  <c r="B2612" i="13"/>
  <c r="B2613" i="13"/>
  <c r="B2614" i="13"/>
  <c r="B2615" i="13"/>
  <c r="B2616" i="13"/>
  <c r="B2617" i="13"/>
  <c r="B2618" i="13"/>
  <c r="B2619" i="13"/>
  <c r="B2620" i="13"/>
  <c r="B2621" i="13"/>
  <c r="B2622" i="13"/>
  <c r="B2623" i="13"/>
  <c r="B2624" i="13"/>
  <c r="B2625" i="13"/>
  <c r="B2626" i="13"/>
  <c r="B2627" i="13"/>
  <c r="B2628" i="13"/>
  <c r="B2629" i="13"/>
  <c r="B2630" i="13"/>
  <c r="B2631" i="13"/>
  <c r="B2632" i="13"/>
  <c r="B2633" i="13"/>
  <c r="B2634" i="13"/>
  <c r="B2635" i="13"/>
  <c r="B2636" i="13"/>
  <c r="B2637" i="13"/>
  <c r="B2638" i="13"/>
  <c r="B2639" i="13"/>
  <c r="B2640" i="13"/>
  <c r="B2641" i="13"/>
  <c r="B2642" i="13"/>
  <c r="B2643" i="13"/>
  <c r="B2644" i="13"/>
  <c r="B2645" i="13"/>
  <c r="B2646" i="13"/>
  <c r="B2647" i="13"/>
  <c r="B2648" i="13"/>
  <c r="B2649" i="13"/>
  <c r="B2650" i="13"/>
  <c r="B2651" i="13"/>
  <c r="B2652" i="13"/>
  <c r="B2653" i="13"/>
  <c r="B2654" i="13"/>
  <c r="B2655" i="13"/>
  <c r="B2656" i="13"/>
  <c r="B2657" i="13"/>
  <c r="B2658" i="13"/>
  <c r="B2659" i="13"/>
  <c r="B2660" i="13"/>
  <c r="B2661" i="13"/>
  <c r="B2662" i="13"/>
  <c r="B2663" i="13"/>
  <c r="B2664" i="13"/>
  <c r="B2665" i="13"/>
  <c r="B2666" i="13"/>
  <c r="B2667" i="13"/>
  <c r="B2668" i="13"/>
  <c r="B2669" i="13"/>
  <c r="B2670" i="13"/>
  <c r="B2671" i="13"/>
  <c r="B2672" i="13"/>
  <c r="B2673" i="13"/>
  <c r="B2674" i="13"/>
  <c r="B2675" i="13"/>
  <c r="B2676" i="13"/>
  <c r="B2677" i="13"/>
  <c r="B2678" i="13"/>
  <c r="B2679" i="13"/>
  <c r="B2680" i="13"/>
  <c r="B2681" i="13"/>
  <c r="B2682" i="13"/>
  <c r="B2683" i="13"/>
  <c r="B2684" i="13"/>
  <c r="B2685" i="13"/>
  <c r="B2686" i="13"/>
  <c r="B2687" i="13"/>
  <c r="B2688" i="13"/>
  <c r="B2689" i="13"/>
  <c r="B2690" i="13"/>
  <c r="B2691" i="13"/>
  <c r="B2692" i="13"/>
  <c r="B2693" i="13"/>
  <c r="B2694" i="13"/>
  <c r="B2695" i="13"/>
  <c r="B2696" i="13"/>
  <c r="B2697" i="13"/>
  <c r="B2698" i="13"/>
  <c r="B2699" i="13"/>
  <c r="B2700" i="13"/>
  <c r="B2701" i="13"/>
  <c r="B2702" i="13"/>
  <c r="B2703" i="13"/>
  <c r="B2704" i="13"/>
  <c r="B2705" i="13"/>
  <c r="B2706" i="13"/>
  <c r="B2707" i="13"/>
  <c r="B2708" i="13"/>
  <c r="B2709" i="13"/>
  <c r="B2710" i="13"/>
  <c r="B2711" i="13"/>
  <c r="B2712" i="13"/>
  <c r="B2713" i="13"/>
  <c r="B2714" i="13"/>
  <c r="B2715" i="13"/>
  <c r="B2716" i="13"/>
  <c r="B2717" i="13"/>
  <c r="B2718" i="13"/>
  <c r="B2719" i="13"/>
  <c r="B2720" i="13"/>
  <c r="B2721" i="13"/>
  <c r="B2722" i="13"/>
  <c r="B2723" i="13"/>
  <c r="B2724" i="13"/>
  <c r="B2725" i="13"/>
  <c r="B2726" i="13"/>
  <c r="B2727" i="13"/>
  <c r="B2728" i="13"/>
  <c r="B2729" i="13"/>
  <c r="B2730" i="13"/>
  <c r="B2731" i="13"/>
  <c r="B2732" i="13"/>
  <c r="B2733" i="13"/>
  <c r="B2734" i="13"/>
  <c r="B2735" i="13"/>
  <c r="B2736" i="13"/>
  <c r="B2737" i="13"/>
  <c r="B2738" i="13"/>
  <c r="B2739" i="13"/>
  <c r="B2740" i="13"/>
  <c r="B2741" i="13"/>
  <c r="B2742" i="13"/>
  <c r="B2743" i="13"/>
  <c r="B2744" i="13"/>
  <c r="B2745" i="13"/>
  <c r="B2746" i="13"/>
  <c r="B2747" i="13"/>
  <c r="B2748" i="13"/>
  <c r="B2749" i="13"/>
  <c r="B2750" i="13"/>
  <c r="B2751" i="13"/>
  <c r="B2752" i="13"/>
  <c r="B2753" i="13"/>
  <c r="B2754" i="13"/>
  <c r="B2755" i="13"/>
  <c r="B2756" i="13"/>
  <c r="B2757" i="13"/>
  <c r="B2758" i="13"/>
  <c r="B2759" i="13"/>
  <c r="B2760" i="13"/>
  <c r="B2761" i="13"/>
  <c r="B2762" i="13"/>
  <c r="B2763" i="13"/>
  <c r="B2764" i="13"/>
  <c r="B2765" i="13"/>
  <c r="B2766" i="13"/>
  <c r="B2767" i="13"/>
  <c r="B2768" i="13"/>
  <c r="B2769" i="13"/>
  <c r="B2770" i="13"/>
  <c r="B2771" i="13"/>
  <c r="B2772" i="13"/>
  <c r="B2773" i="13"/>
  <c r="B2774" i="13"/>
  <c r="B2775" i="13"/>
  <c r="B2776" i="13"/>
  <c r="B2777" i="13"/>
  <c r="B2778" i="13"/>
  <c r="B2779" i="13"/>
  <c r="B2780" i="13"/>
  <c r="B2781" i="13"/>
  <c r="B2782" i="13"/>
  <c r="B2783" i="13"/>
  <c r="B2784" i="13"/>
  <c r="B2785" i="13"/>
  <c r="B2786" i="13"/>
  <c r="B2787" i="13"/>
  <c r="B2788" i="13"/>
  <c r="B2789" i="13"/>
  <c r="B2790" i="13"/>
  <c r="B2791" i="13"/>
  <c r="B2792" i="13"/>
  <c r="B2793" i="13"/>
  <c r="B2794" i="13"/>
  <c r="B2795" i="13"/>
  <c r="B2796" i="13"/>
  <c r="B3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32" i="8"/>
  <c r="B31" i="8"/>
  <c r="A31" i="8"/>
  <c r="B27" i="8"/>
  <c r="B22" i="8"/>
  <c r="B28" i="8"/>
  <c r="B24" i="8"/>
  <c r="B25" i="8"/>
  <c r="B26" i="8"/>
  <c r="B23" i="8"/>
  <c r="B2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9" i="8"/>
  <c r="B30" i="8"/>
  <c r="B32" i="8"/>
  <c r="B33" i="8"/>
  <c r="B34" i="8"/>
  <c r="J16" i="8"/>
  <c r="J17" i="8"/>
  <c r="P17" i="8"/>
  <c r="P16" i="8"/>
  <c r="P15" i="8"/>
  <c r="I7" i="7"/>
  <c r="B137" i="7"/>
  <c r="G8" i="7"/>
  <c r="J29" i="6"/>
  <c r="O27" i="6"/>
  <c r="P27" i="6"/>
  <c r="A29" i="8"/>
  <c r="A30" i="8"/>
  <c r="Q27" i="6"/>
  <c r="A2831" i="13" l="1"/>
  <c r="A2832" i="13" s="1"/>
  <c r="A2825" i="13"/>
  <c r="A2826" i="13" s="1"/>
  <c r="A2827" i="13" s="1"/>
  <c r="A2828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ll(1)" description="Connection to the 'All' query in the workbook." type="5" refreshedVersion="8" saveData="1">
    <dbPr connection="Provider=Microsoft.Mashup.OleDb.1;Data Source=$Workbook$;Location=All;Extended Properties=&quot;&quot;" command="SELECT * FROM [All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<sst xmlns="http://schemas.openxmlformats.org/spreadsheetml/2006/main" count="3016" uniqueCount="1558">
  <si>
    <t>صيانة فلتر</t>
  </si>
  <si>
    <t>اورانج</t>
  </si>
  <si>
    <t>منظفات</t>
  </si>
  <si>
    <t>عصام</t>
  </si>
  <si>
    <t>العيدية+المكافاة</t>
  </si>
  <si>
    <t>تحت حساب العيادة باقي شهر 3</t>
  </si>
  <si>
    <t>ميادة</t>
  </si>
  <si>
    <t>الرصيد</t>
  </si>
  <si>
    <t>الايراد</t>
  </si>
  <si>
    <t>المصروف</t>
  </si>
  <si>
    <t>التاريخ</t>
  </si>
  <si>
    <t>الاجمالي</t>
  </si>
  <si>
    <t>طنطا</t>
  </si>
  <si>
    <t>تأمينات</t>
  </si>
  <si>
    <t>فودافون</t>
  </si>
  <si>
    <t>ايجار بطرس</t>
  </si>
  <si>
    <t>فيزا cib</t>
  </si>
  <si>
    <t>ايجار الشروق</t>
  </si>
  <si>
    <t>النسبة</t>
  </si>
  <si>
    <t>الصواف</t>
  </si>
  <si>
    <t>اوفو420</t>
  </si>
  <si>
    <t>المرتبات</t>
  </si>
  <si>
    <t>تحت حساب العيادة شهر12</t>
  </si>
  <si>
    <t>اضافي الفنيين+هدير ال300 جنيه*2</t>
  </si>
  <si>
    <t>عم سعيدالبواب</t>
  </si>
  <si>
    <t>اوفو120</t>
  </si>
  <si>
    <t>اسدال للبنات في الشروق</t>
  </si>
  <si>
    <t>الجمعية</t>
  </si>
  <si>
    <t>كوبايات كرتونة</t>
  </si>
  <si>
    <t>ورق 4 باكو*130 70 جرام</t>
  </si>
  <si>
    <t>شعاع60</t>
  </si>
  <si>
    <t>اوفو180</t>
  </si>
  <si>
    <t>قص ورق</t>
  </si>
  <si>
    <t>د السعدني</t>
  </si>
  <si>
    <t>2ك سكر</t>
  </si>
  <si>
    <t>جونتي معقم3*620+اوفر هيد واوفر شوز 2و4</t>
  </si>
  <si>
    <t>شاي</t>
  </si>
  <si>
    <t xml:space="preserve"> الشروق2ك سكر</t>
  </si>
  <si>
    <t>شاي اخضر+معطرات</t>
  </si>
  <si>
    <t>شعاع120</t>
  </si>
  <si>
    <t>انتقالات</t>
  </si>
  <si>
    <t>مواصلات الصواف مرتين</t>
  </si>
  <si>
    <t>روشتات 52*61.25</t>
  </si>
  <si>
    <t>اصلاح كرسي جلد</t>
  </si>
  <si>
    <t>اوفو300</t>
  </si>
  <si>
    <t>من حساب النسبة</t>
  </si>
  <si>
    <t>د نمير شهر11+12</t>
  </si>
  <si>
    <t>كروكس عصام</t>
  </si>
  <si>
    <t>اضافي صافي</t>
  </si>
  <si>
    <t>لزق طبي</t>
  </si>
  <si>
    <t>بالطوهات</t>
  </si>
  <si>
    <t>اضافي د سما حتي يصل مرتب الشفت 250</t>
  </si>
  <si>
    <t>شاي ومياه وسكر</t>
  </si>
  <si>
    <t>شاي اخضر</t>
  </si>
  <si>
    <t>قرنفل</t>
  </si>
  <si>
    <t xml:space="preserve"> بكرة تعقيم 1*1050</t>
  </si>
  <si>
    <t>اوفو360</t>
  </si>
  <si>
    <t>د/السعدني بسنت البنات</t>
  </si>
  <si>
    <t>اوفو540</t>
  </si>
  <si>
    <t>صيانة الاوتو ريف</t>
  </si>
  <si>
    <t>كروكس 100 طه</t>
  </si>
  <si>
    <t>جولد اي 300</t>
  </si>
  <si>
    <t>اوفو600</t>
  </si>
  <si>
    <t>كروكسات للتمريض</t>
  </si>
  <si>
    <t>كهربا</t>
  </si>
  <si>
    <t>فاتورة مياه</t>
  </si>
  <si>
    <t>اضافي د عمر حتي يصل الشفت200</t>
  </si>
  <si>
    <t>محلول 12*40</t>
  </si>
  <si>
    <t>جاونات50*17+جوانتي4*180</t>
  </si>
  <si>
    <t>سكر ك*40</t>
  </si>
  <si>
    <t>ابو يوسف الدكتورة</t>
  </si>
  <si>
    <t>عدد 10اوبتي بريد*36.5</t>
  </si>
  <si>
    <t>د السعدني / مصطفي</t>
  </si>
  <si>
    <t>جاد مقصين</t>
  </si>
  <si>
    <t>نت الشروق داليا</t>
  </si>
  <si>
    <t>تعاقد الشروق</t>
  </si>
  <si>
    <t>شاي بطرس+ الشروق</t>
  </si>
  <si>
    <t>كارتلة 1000*4.5+50بكر اوتوريف *20</t>
  </si>
  <si>
    <t>عدد 2 ك سكر*50</t>
  </si>
  <si>
    <t>اقلام 12</t>
  </si>
  <si>
    <t>شعاع240</t>
  </si>
  <si>
    <t>تسوية شعاع شهر 1</t>
  </si>
  <si>
    <t>من تحت حساب المرتبات</t>
  </si>
  <si>
    <t>دانش د السعدني</t>
  </si>
  <si>
    <t>د السعدني الجمعية</t>
  </si>
  <si>
    <t>حساب العيادة شهر 1</t>
  </si>
  <si>
    <t>7 علب جوانتيات</t>
  </si>
  <si>
    <t>عم سعيد البواب</t>
  </si>
  <si>
    <t>مفك</t>
  </si>
  <si>
    <t>اضافي هدير</t>
  </si>
  <si>
    <t>كحول 12*35</t>
  </si>
  <si>
    <t>قطرات 50*18.74اوركابريد</t>
  </si>
  <si>
    <t>دفاتر الشروق52دفتر*70+1000 كارت*1.35</t>
  </si>
  <si>
    <t>بوكس عدسات د اعتدال</t>
  </si>
  <si>
    <t>فودافون+د السعدني</t>
  </si>
  <si>
    <t>بطاريات للعيادة الشروق</t>
  </si>
  <si>
    <t>د السعدني فيزا cib 15000-9230-2720</t>
  </si>
  <si>
    <t>البنات د السعدني</t>
  </si>
  <si>
    <t>نت بطرس والشروق وكفر الشيخ من 11ل2</t>
  </si>
  <si>
    <t>سكر</t>
  </si>
  <si>
    <t>شعاع180</t>
  </si>
  <si>
    <t>سلفة مرسال تم تسويتها14-3</t>
  </si>
  <si>
    <t>اضافي صافي 85 ساعة</t>
  </si>
  <si>
    <t>عدد 2 ك سكر*48</t>
  </si>
  <si>
    <t>مصطفى السعدني 2800$*65</t>
  </si>
  <si>
    <t>ورق طباعة6*185</t>
  </si>
  <si>
    <t>مرسال فيمتو</t>
  </si>
  <si>
    <t>سباك</t>
  </si>
  <si>
    <t>محمود الفيمتو</t>
  </si>
  <si>
    <t>نمير شهر1 -8 عمليات</t>
  </si>
  <si>
    <t>عدد 55 جاون*20+5 اوفر هيد*45</t>
  </si>
  <si>
    <t xml:space="preserve"> كفرات اشعة 1000*9.4</t>
  </si>
  <si>
    <t xml:space="preserve"> تليفون بدون فاتورة محل </t>
  </si>
  <si>
    <t>اوفو240</t>
  </si>
  <si>
    <t>ادوات مكتبية</t>
  </si>
  <si>
    <t>د السعدني / سمير</t>
  </si>
  <si>
    <t>تاتش الاوتوريف</t>
  </si>
  <si>
    <t>طابعه استقبال</t>
  </si>
  <si>
    <t>اوفو 360</t>
  </si>
  <si>
    <t>ميناتورز د السعدني</t>
  </si>
  <si>
    <t>ابو يوسف</t>
  </si>
  <si>
    <t>ابو يوسف - الدكتورة</t>
  </si>
  <si>
    <t>سكر 2ك</t>
  </si>
  <si>
    <t>باقي جاد شهر 1-2</t>
  </si>
  <si>
    <t xml:space="preserve">فلوانس </t>
  </si>
  <si>
    <t>مواصلات الصواف 3 مرات</t>
  </si>
  <si>
    <t>ا/بسنت - البنات</t>
  </si>
  <si>
    <t>شعاع300</t>
  </si>
  <si>
    <t>كوريكتور</t>
  </si>
  <si>
    <t>اوفو480</t>
  </si>
  <si>
    <t>شعاع360</t>
  </si>
  <si>
    <t>سكر 2 ك</t>
  </si>
  <si>
    <t>جوانت معقم3*1050+اوفر هيد3*160+شوز6*50</t>
  </si>
  <si>
    <t>باتيه د السعدني</t>
  </si>
  <si>
    <t>شاي الشروق وبطرس</t>
  </si>
  <si>
    <t>د السعدني نقدا</t>
  </si>
  <si>
    <t>شعاع420</t>
  </si>
  <si>
    <t>شعاع</t>
  </si>
  <si>
    <t>اقلام سبورة3*12</t>
  </si>
  <si>
    <t>بريل الشروق</t>
  </si>
  <si>
    <t>شعاع480</t>
  </si>
  <si>
    <t>نت الشروق</t>
  </si>
  <si>
    <t>شعاع540</t>
  </si>
  <si>
    <t>شنطة رمضان+اضافي د السعدني</t>
  </si>
  <si>
    <t>د السعدني كفر الشيخ</t>
  </si>
  <si>
    <t>بسنت البنات+فيزا البنك الأهلي+تجديد موقع الضرايب</t>
  </si>
  <si>
    <t>تحت حساب العيادة</t>
  </si>
  <si>
    <t>د محمد عبد الرحيم رسالة</t>
  </si>
  <si>
    <t>عجز الوردية الاولى</t>
  </si>
  <si>
    <t>علاج د السعدني</t>
  </si>
  <si>
    <t>اضافي الفنيين</t>
  </si>
  <si>
    <t>اوفو 60</t>
  </si>
  <si>
    <t>اكياس زبالة 25ك*60</t>
  </si>
  <si>
    <t xml:space="preserve"> جاونات وسرنجات وجوانتيات</t>
  </si>
  <si>
    <t>معالق</t>
  </si>
  <si>
    <t>كالون</t>
  </si>
  <si>
    <t>باقي المرتبات</t>
  </si>
  <si>
    <t>لزق</t>
  </si>
  <si>
    <t>ابو يوسف شراء بسطرمة</t>
  </si>
  <si>
    <t>فرق حالات كفر الشيخ</t>
  </si>
  <si>
    <t>عدد20 دراع قماش لجهاز الليزر</t>
  </si>
  <si>
    <t>اضافي صافي شهر 2</t>
  </si>
  <si>
    <t>قطرة هاي فريش</t>
  </si>
  <si>
    <t>البنات1000ج/ دوا الصيدليه725ج</t>
  </si>
  <si>
    <t>مناديل 2*325</t>
  </si>
  <si>
    <t>مقدم الفطار+مواصلات لابوعمر</t>
  </si>
  <si>
    <t>عدد 50 علبة لوبستيرا+موكسيسيارو</t>
  </si>
  <si>
    <t>اطباق وشوك وكوبايات للفطار</t>
  </si>
  <si>
    <t>عصاير مارتن</t>
  </si>
  <si>
    <t>طرابيزات</t>
  </si>
  <si>
    <t>اضافي د عمر الشفت بالنسبة 250</t>
  </si>
  <si>
    <t>مواصلات ابن سينا</t>
  </si>
  <si>
    <t>تصليح الكاتل</t>
  </si>
  <si>
    <t>شاي +علب يوم الفطار</t>
  </si>
  <si>
    <t>شهرية جاد</t>
  </si>
  <si>
    <t>د السعدني البنك الاهلي</t>
  </si>
  <si>
    <t>عدد21*20 بينوكس</t>
  </si>
  <si>
    <t>البنات</t>
  </si>
  <si>
    <t>قطرات مونودوكسين100*23.2</t>
  </si>
  <si>
    <t>شعاع660</t>
  </si>
  <si>
    <t>ضرايب د السعدني</t>
  </si>
  <si>
    <t>د السعدني نقدا+كفر الشيخ+لستة2-4</t>
  </si>
  <si>
    <t>اوفو60</t>
  </si>
  <si>
    <t>شحن كهرباء</t>
  </si>
  <si>
    <t>من حساب فيزا cib</t>
  </si>
  <si>
    <t>اوفتابانتين21 علبة</t>
  </si>
  <si>
    <t>شهر2-3 دنمير 22.5 عملية</t>
  </si>
  <si>
    <t>د الصواف</t>
  </si>
  <si>
    <t>شاي ومطرات</t>
  </si>
  <si>
    <t>جولدز اي</t>
  </si>
  <si>
    <t>صافي من حساب الاضافي</t>
  </si>
  <si>
    <t>محمد رمضان/د السعدني</t>
  </si>
  <si>
    <t>اضافي د عمر + د سما استكمال الشفت 250</t>
  </si>
  <si>
    <t>د السعدني نقطة</t>
  </si>
  <si>
    <t>2 ك سكر للشروق*37</t>
  </si>
  <si>
    <t>مياه</t>
  </si>
  <si>
    <t>دالسعدني تمريض دار القمة</t>
  </si>
  <si>
    <t>اوركابريد100*19.5</t>
  </si>
  <si>
    <t>د السعدني  كهرباء الدار</t>
  </si>
  <si>
    <t>صيانة تكييفات</t>
  </si>
  <si>
    <t>امير لزق</t>
  </si>
  <si>
    <t xml:space="preserve">جاد </t>
  </si>
  <si>
    <t>مكتب المحاسبة واصل140000</t>
  </si>
  <si>
    <t>مكتب المحاسبة واصل150000/الميزانية</t>
  </si>
  <si>
    <t>عمولة انستاباي</t>
  </si>
  <si>
    <t>لمبة للعيادة الاولى</t>
  </si>
  <si>
    <t>الشروق تعاقد</t>
  </si>
  <si>
    <t>سكر2*50</t>
  </si>
  <si>
    <t>لاب د. السعدني للمركز</t>
  </si>
  <si>
    <t>بطارية يو بي اس</t>
  </si>
  <si>
    <t>مواصلات مصطفى البطارية</t>
  </si>
  <si>
    <t>اوفو660</t>
  </si>
  <si>
    <t>شاي+سكر</t>
  </si>
  <si>
    <t>سلفة محمود تم التسويه 28-4</t>
  </si>
  <si>
    <t>مناديل 1*285+1*315</t>
  </si>
  <si>
    <t>صيانة مراوح</t>
  </si>
  <si>
    <t>اوفو720</t>
  </si>
  <si>
    <t>فارماتيرز قطرة</t>
  </si>
  <si>
    <t>من حساب المرتبات</t>
  </si>
  <si>
    <t>ورق طباعة باكو80+باكو70</t>
  </si>
  <si>
    <t>صيانة كرسي د السعدني</t>
  </si>
  <si>
    <t>رضا باقي 200</t>
  </si>
  <si>
    <t>البواب</t>
  </si>
  <si>
    <t>قراقيش د السعدني</t>
  </si>
  <si>
    <t>كهرباء الصفوة</t>
  </si>
  <si>
    <t>ابو يوسف / بصل</t>
  </si>
  <si>
    <t>بطارية لاب د. السعدني</t>
  </si>
  <si>
    <t>السعدني / موتور مايه</t>
  </si>
  <si>
    <t>عيادة البحر د السعدني</t>
  </si>
  <si>
    <t>معطر 5*60</t>
  </si>
  <si>
    <t>شاي وسكر وخل</t>
  </si>
  <si>
    <t>المكافأة</t>
  </si>
  <si>
    <t>لمبة للعيادة /الفاطمية</t>
  </si>
  <si>
    <t>ريموت وبطارية</t>
  </si>
  <si>
    <t>لزق دابل فيس</t>
  </si>
  <si>
    <t>لمبة نيترز تانية</t>
  </si>
  <si>
    <t>مواصلات عصام الصواف</t>
  </si>
  <si>
    <t>مواصلات عصام الفاطمية</t>
  </si>
  <si>
    <t>صيانة جهاز التبكيت+التكييف الشروق</t>
  </si>
  <si>
    <t>اضافي صافي شهر 4</t>
  </si>
  <si>
    <t>وصل مياة</t>
  </si>
  <si>
    <t>مناديل حمام1*325+مناديل سحب1*285+كوبايات1*320</t>
  </si>
  <si>
    <t>شاي وسكر ومنفات الشروق</t>
  </si>
  <si>
    <t>مواصلات الصواف</t>
  </si>
  <si>
    <t>كهرباء الدار</t>
  </si>
  <si>
    <t>باقي حساب تبات د السعدني</t>
  </si>
  <si>
    <t>جاد الشهرية +20000 من حساب الاسطوانة</t>
  </si>
  <si>
    <t>قطرة موكسي فلوكس</t>
  </si>
  <si>
    <t>صرف 9 ايام هدير</t>
  </si>
  <si>
    <t>كهرباء +فاتورة تليفون ارضي</t>
  </si>
  <si>
    <t>شاي وسكر</t>
  </si>
  <si>
    <t>عدسات بعد العملية42*1000</t>
  </si>
  <si>
    <t>طرد مصطفى السعدني</t>
  </si>
  <si>
    <t>اقلام الشروق</t>
  </si>
  <si>
    <t>مواصلات الصواف-طه</t>
  </si>
  <si>
    <t>سلفة محمود تم التسويه 28-5</t>
  </si>
  <si>
    <t>جاونات100*21+4 جوانتي*875</t>
  </si>
  <si>
    <t>عدد45 دفتر *70</t>
  </si>
  <si>
    <t>زيادة الشفت الاول</t>
  </si>
  <si>
    <t>حبر الطابعة</t>
  </si>
  <si>
    <t>د عمر(فرق المرتب 500-290)</t>
  </si>
  <si>
    <t>المشارط -السعدني علبة</t>
  </si>
  <si>
    <t>محلول19*40</t>
  </si>
  <si>
    <t>عماد ايداع المشارط</t>
  </si>
  <si>
    <t>تحت حساب العيادةشهر5</t>
  </si>
  <si>
    <t>ميادة صفر</t>
  </si>
  <si>
    <t>بطاريات 4 قلم 4 ريموت</t>
  </si>
  <si>
    <t>النت شهر 3\4\5</t>
  </si>
  <si>
    <t>عم سعيد-البواب</t>
  </si>
  <si>
    <t>مسند كرسي العيادة</t>
  </si>
  <si>
    <t>مصطفى السعدني طرد</t>
  </si>
  <si>
    <t>عدد4 علب شاش معقم مغلف*145+40 مواصلات</t>
  </si>
  <si>
    <t>السعدني / لاب عمر</t>
  </si>
  <si>
    <t>مواصلات الصواف طه</t>
  </si>
  <si>
    <t xml:space="preserve">مجري الدرج </t>
  </si>
  <si>
    <t xml:space="preserve"> وفودافون+د السعدني</t>
  </si>
  <si>
    <t>السعدني / شريط دوا</t>
  </si>
  <si>
    <t xml:space="preserve"> جاد الشهرية + 12000 باقي حساب الاسطوانه</t>
  </si>
  <si>
    <t>ايمان ليوم الثلاثاء</t>
  </si>
  <si>
    <t>مكافأة د السعدني</t>
  </si>
  <si>
    <t>كلور</t>
  </si>
  <si>
    <t>مكتب المحاسبه 160000</t>
  </si>
  <si>
    <t>العيدية</t>
  </si>
  <si>
    <t>مواصلات محمود مكن الملفات</t>
  </si>
  <si>
    <t>مستلزمات (1375 رول تعقيم+اوفر شوز 50)+انتقالات 40</t>
  </si>
  <si>
    <t>ابو يوسف/الدكتورة</t>
  </si>
  <si>
    <t>مواصلات محمود الكروت</t>
  </si>
  <si>
    <t>مواصلات محمود د السعدني تحويل</t>
  </si>
  <si>
    <t>كارت نضارة وتحويل 2000*1.25</t>
  </si>
  <si>
    <t>اضافي صافي شهر 5</t>
  </si>
  <si>
    <t>فارما تيرز100*27.8</t>
  </si>
  <si>
    <t>اكياس زباله</t>
  </si>
  <si>
    <t>د. السعدني كهربا الدار</t>
  </si>
  <si>
    <t xml:space="preserve">صيانة التكيف </t>
  </si>
  <si>
    <t>د السعدني ( باقي الأضحيه_فيزا قديم)</t>
  </si>
  <si>
    <t>حساب الفيس</t>
  </si>
  <si>
    <t>مواصلات طه الصواف</t>
  </si>
  <si>
    <t>من حساب العيادة شهر 6</t>
  </si>
  <si>
    <t>مرتبات</t>
  </si>
  <si>
    <t>اضافي د عمر حتى يصل النسبة والشفت 250</t>
  </si>
  <si>
    <t>قطر الحرمين 450 ريال</t>
  </si>
  <si>
    <t>شعاع الجديد</t>
  </si>
  <si>
    <t>اورانج وفودافون</t>
  </si>
  <si>
    <t>اوفر شوز*4+مواصلات</t>
  </si>
  <si>
    <t>فاتورة نت الشروق</t>
  </si>
  <si>
    <t>د. السعدني فيزا cib</t>
  </si>
  <si>
    <t>ليد مصطفي السعدني</t>
  </si>
  <si>
    <t>طنطا / شعاع180</t>
  </si>
  <si>
    <t>عدسات د/ الصواف</t>
  </si>
  <si>
    <t>قارورة مايه</t>
  </si>
  <si>
    <t>مواصلات عصام</t>
  </si>
  <si>
    <t>طنطا - (65 شاي+210 صيانة فلتر)</t>
  </si>
  <si>
    <t>طنطا - (كهربا + مشتريات عصام)</t>
  </si>
  <si>
    <t>جوانتي معقم علبتين 50*1050</t>
  </si>
  <si>
    <t>سكر 2 ك*37</t>
  </si>
  <si>
    <t>الصواف/تم السداد</t>
  </si>
  <si>
    <t>هدير حتى يوم 10/تم السداد</t>
  </si>
  <si>
    <t>د محمد عبد الرحيم رسالة/تم السداد</t>
  </si>
  <si>
    <t xml:space="preserve"> كوبايات بلاستك1*360+انتقالات</t>
  </si>
  <si>
    <t>تقفيل اوفو وشعاع شهر 3.4</t>
  </si>
  <si>
    <t>تسوية شعاع واوفو شهر 2</t>
  </si>
  <si>
    <t>تسوية شعاع240</t>
  </si>
  <si>
    <t>اوفو840</t>
  </si>
  <si>
    <t xml:space="preserve">شعاع360 تم دمجها مع اوفو </t>
  </si>
  <si>
    <t>م/جاد تحت حساب الاسطوانه</t>
  </si>
  <si>
    <t>مواصلات مصطفى الصواف</t>
  </si>
  <si>
    <t>طباعة ورق د كريم</t>
  </si>
  <si>
    <t>باكت ورق 5*220</t>
  </si>
  <si>
    <t>فاتورةمياه</t>
  </si>
  <si>
    <t xml:space="preserve"> حجاير4*40</t>
  </si>
  <si>
    <t>عدسات د السعدني</t>
  </si>
  <si>
    <t>هشام</t>
  </si>
  <si>
    <t>طه</t>
  </si>
  <si>
    <t>كهرباءالدار</t>
  </si>
  <si>
    <t>م.رضا</t>
  </si>
  <si>
    <t>كيسين سكر الشروق</t>
  </si>
  <si>
    <t>ابو يوسف (لبن+بنزين)</t>
  </si>
  <si>
    <t>اوفو 540</t>
  </si>
  <si>
    <t>ترجمة التوكيلات  د السعدني</t>
  </si>
  <si>
    <t>اوفو 600</t>
  </si>
  <si>
    <t>شعاع 360</t>
  </si>
  <si>
    <t>السعدني/تم السداد</t>
  </si>
  <si>
    <t>تعديل كهربا الصيدليه</t>
  </si>
  <si>
    <t>سكر وشاي</t>
  </si>
  <si>
    <t>استخراج سجل تجاري</t>
  </si>
  <si>
    <t>كاتيل الشروق</t>
  </si>
  <si>
    <t>قطره فارما تيرز</t>
  </si>
  <si>
    <t>مفاتيح د السعدني</t>
  </si>
  <si>
    <t>تحت حساب توكيلات د السعدني</t>
  </si>
  <si>
    <t>جاد باقي الاسطوانة +3600 شهرية</t>
  </si>
  <si>
    <t>الدكتوره</t>
  </si>
  <si>
    <t>تصليح زجاج</t>
  </si>
  <si>
    <t>نورا لاول الشهر/تم السداد3-8</t>
  </si>
  <si>
    <t>تحت حساب العيادة شهر7</t>
  </si>
  <si>
    <t>م رضا باقي50 يوم 27-7</t>
  </si>
  <si>
    <t xml:space="preserve"> اورانج وفودافون</t>
  </si>
  <si>
    <t>تحويل 400$*49.25 د السعدني</t>
  </si>
  <si>
    <t>د محمد عبدالرحيم</t>
  </si>
  <si>
    <t>دالسعدني ابو يوسف</t>
  </si>
  <si>
    <t>ستارة للباب مشمع</t>
  </si>
  <si>
    <t xml:space="preserve"> جاونات45*22 واوفر شوز5*50</t>
  </si>
  <si>
    <t>كوبايات+ 40 مواصلات</t>
  </si>
  <si>
    <t>كوبايات</t>
  </si>
  <si>
    <t>فلتر الشروق</t>
  </si>
  <si>
    <t>تجديد الختم الاليكتروني</t>
  </si>
  <si>
    <t>مندوب ابن سينا</t>
  </si>
  <si>
    <t>مصطفى السعدني</t>
  </si>
  <si>
    <t>من تحت حساب 1000 كفر اشعة/</t>
  </si>
  <si>
    <t>سكر2 ك</t>
  </si>
  <si>
    <t xml:space="preserve"> حونتيات 2*1050</t>
  </si>
  <si>
    <t>تقفيل حساب شعاع شهر 7</t>
  </si>
  <si>
    <t>محلول ملح</t>
  </si>
  <si>
    <t>صيانةطابعة</t>
  </si>
  <si>
    <t>جوانتيات+اوفر هيد+بيتادين</t>
  </si>
  <si>
    <t>مواصلات عصام مرتين مستلزمات+مرة الصواف</t>
  </si>
  <si>
    <t>صيانة تكييفات-الشروق</t>
  </si>
  <si>
    <t>نمير حتي نهاية شهر 7</t>
  </si>
  <si>
    <t>ورق 1800/حافظه 200/مواصلات 40</t>
  </si>
  <si>
    <t>د. السعدني</t>
  </si>
  <si>
    <t>بدل مواصلات</t>
  </si>
  <si>
    <t>عاملة نظافة</t>
  </si>
  <si>
    <t>بيتادين 2 جركن</t>
  </si>
  <si>
    <t>فيزا البنك الاهلي (من فلوس العياده)</t>
  </si>
  <si>
    <t>فيزا cib هرجعهم مع سداد الفيزا يوم 5\9</t>
  </si>
  <si>
    <t>بالتتين مناديل*315+105جاون*22+علبة سرنجات 10سم*300+3 انتقالات</t>
  </si>
  <si>
    <t>عدد72 قطرة سايكلو</t>
  </si>
  <si>
    <t>شاي وسكر وشاي اخضر</t>
  </si>
  <si>
    <t>اوفو960</t>
  </si>
  <si>
    <t>تحت حساب تصليح جهاز الفاكو</t>
  </si>
  <si>
    <t>تحت حساب كوبايات للشروق</t>
  </si>
  <si>
    <t>اوفو 1020</t>
  </si>
  <si>
    <t xml:space="preserve"> مجرى للدرج استقبال+انتقالات</t>
  </si>
  <si>
    <t>ضريبه عقاريه صيدلية سبرباي سنة 23 و 24</t>
  </si>
  <si>
    <t>كهربا+ انتقالات شركة الكهربا</t>
  </si>
  <si>
    <t>جولدز اي 600</t>
  </si>
  <si>
    <t>مفاتيح</t>
  </si>
  <si>
    <t>تحت حساب العيادة شهر8</t>
  </si>
  <si>
    <t>هاي فريش</t>
  </si>
  <si>
    <t>حساب 44 بوكس عدسات+7 بونص</t>
  </si>
  <si>
    <t>مواصلات عصام الطباعة+ابن سينا العدسات</t>
  </si>
  <si>
    <t>جولد اي</t>
  </si>
  <si>
    <t>جولد اي /تم السداد حتى 31/8</t>
  </si>
  <si>
    <t>م/رضا تم السداد لاشئ</t>
  </si>
  <si>
    <t>قطرات توسيع د محمد</t>
  </si>
  <si>
    <t>عاملة نظافة /الشروق</t>
  </si>
  <si>
    <t>طرد م السعدني</t>
  </si>
  <si>
    <t>فوط وكوبيات</t>
  </si>
  <si>
    <t>مكتب المحاسبة استخراج وثيقة للضرايب</t>
  </si>
  <si>
    <t>سكر الشروق</t>
  </si>
  <si>
    <t>ايمان من القرض/تم السداد</t>
  </si>
  <si>
    <t>داليا الشروق</t>
  </si>
  <si>
    <t>مرتجع كشف</t>
  </si>
  <si>
    <t xml:space="preserve">شاي وسكر </t>
  </si>
  <si>
    <t>صيانة طابعة م سعاد</t>
  </si>
  <si>
    <t>رسوم السجل التجاري</t>
  </si>
  <si>
    <t>اضافي د السعدني</t>
  </si>
  <si>
    <t>2 سكر</t>
  </si>
  <si>
    <t xml:space="preserve"> جوانتيات1*1100+4*1050مقاس 7.5</t>
  </si>
  <si>
    <t>سلوك الاستقبال + مصنعية الكهربائي</t>
  </si>
  <si>
    <t>كروكسين</t>
  </si>
  <si>
    <t xml:space="preserve">نت بطرس 4 شهور6-9/ارضي 3 شهور </t>
  </si>
  <si>
    <t>مصطفى السعدني بساطه</t>
  </si>
  <si>
    <t>ادوية طوارئ</t>
  </si>
  <si>
    <t>اوفر شوز50*10+بالطو للعاملة*250</t>
  </si>
  <si>
    <t>مواصلات عصام المستلزمات</t>
  </si>
  <si>
    <t>جوانتي مقم مقاس 7.5</t>
  </si>
  <si>
    <t>صيانة كفرالشيخ-د السعدني</t>
  </si>
  <si>
    <t xml:space="preserve">شعاع360 </t>
  </si>
  <si>
    <t>حجارة</t>
  </si>
  <si>
    <t xml:space="preserve"> كهربا</t>
  </si>
  <si>
    <t>حداد</t>
  </si>
  <si>
    <t>مصطفى السعدني ابو يوسف</t>
  </si>
  <si>
    <t>خل</t>
  </si>
  <si>
    <t>البنات 3500/هشام 4000/السعدني 500</t>
  </si>
  <si>
    <t>كارتله (4*1000)</t>
  </si>
  <si>
    <t>الطابعة/صيانة</t>
  </si>
  <si>
    <t>سكر2ك</t>
  </si>
  <si>
    <t>نوري</t>
  </si>
  <si>
    <t>بالطو تمريض (25م قماش 2000ج ,1050 طرح 14*75 , 50 مواصلات)</t>
  </si>
  <si>
    <t>صندوق القرض / ريهام يسدد شهر 11</t>
  </si>
  <si>
    <t>شرشوبة</t>
  </si>
  <si>
    <t>سكرالشروق3ك</t>
  </si>
  <si>
    <t>مناديل+مواصلات</t>
  </si>
  <si>
    <t>كفرالشيخ عصام</t>
  </si>
  <si>
    <t>شعاع780</t>
  </si>
  <si>
    <t>علبتين تعقيم</t>
  </si>
  <si>
    <t>باقي القماش</t>
  </si>
  <si>
    <t>نوري225</t>
  </si>
  <si>
    <t>نوري300</t>
  </si>
  <si>
    <t>زيادة حالة زينب</t>
  </si>
  <si>
    <t>السعدني كبسولات</t>
  </si>
  <si>
    <t>كرسي اوضة الدكاتره (2*800)</t>
  </si>
  <si>
    <t>نوري375</t>
  </si>
  <si>
    <t>2 ك سكر</t>
  </si>
  <si>
    <t>لمبة للسلم</t>
  </si>
  <si>
    <t>كرتونة كوبيات</t>
  </si>
  <si>
    <t>جاون+جوانتيات</t>
  </si>
  <si>
    <t>ورق5 باكو*175</t>
  </si>
  <si>
    <t>مشمع للعمليات</t>
  </si>
  <si>
    <t>نوري525</t>
  </si>
  <si>
    <t>سعدني اونلاين</t>
  </si>
  <si>
    <t>نوري 825</t>
  </si>
  <si>
    <t>طه الصواف</t>
  </si>
  <si>
    <t>تحت حساب عيادة طنطا</t>
  </si>
  <si>
    <t>تسوية حساب نوري</t>
  </si>
  <si>
    <t>منظفات الشروق</t>
  </si>
  <si>
    <t>داليا</t>
  </si>
  <si>
    <t>فودافون8-9</t>
  </si>
  <si>
    <t>عدد 32 قطرة بينوكس</t>
  </si>
  <si>
    <t>زيادة</t>
  </si>
  <si>
    <t>نوري600</t>
  </si>
  <si>
    <t>ازالة اليافطة</t>
  </si>
  <si>
    <t>عصير للحالات</t>
  </si>
  <si>
    <t>نوري675</t>
  </si>
  <si>
    <t>فلتر</t>
  </si>
  <si>
    <t>مواصلات</t>
  </si>
  <si>
    <t>نوري900</t>
  </si>
  <si>
    <t>فلوس cib/تم السداد</t>
  </si>
  <si>
    <t>يد مصطفى السعدني</t>
  </si>
  <si>
    <t>د السعدني مكافأة</t>
  </si>
  <si>
    <t>نسبة شهر9</t>
  </si>
  <si>
    <t>طباعة د كريم</t>
  </si>
  <si>
    <t>اضافي ساره</t>
  </si>
  <si>
    <t>صافي لاول الشهر/تم السداد</t>
  </si>
  <si>
    <t>نوري975</t>
  </si>
  <si>
    <t>نوري1050</t>
  </si>
  <si>
    <t>دوا د السعدني</t>
  </si>
  <si>
    <t>حبر طابعة الشروق</t>
  </si>
  <si>
    <t>نوري1275</t>
  </si>
  <si>
    <t>ماوس وكيبورد</t>
  </si>
  <si>
    <t>مصل للنمل</t>
  </si>
  <si>
    <t>نوري1350</t>
  </si>
  <si>
    <t>زيادة لد كريم</t>
  </si>
  <si>
    <t xml:space="preserve">السعدني </t>
  </si>
  <si>
    <t>مناديل+ورق تعقيم+ورق تبكيت+روشتات+مصنعية+مستلزمات+مواصلات</t>
  </si>
  <si>
    <t>مواصلات رضوى</t>
  </si>
  <si>
    <t>تركيب يافطة السلم</t>
  </si>
  <si>
    <t>نوري1425</t>
  </si>
  <si>
    <t>وصل مياه</t>
  </si>
  <si>
    <t>نوري1650</t>
  </si>
  <si>
    <t>نوري1725</t>
  </si>
  <si>
    <t>اكياس 20 ك احمر واسود+هاربيك+انتقالات</t>
  </si>
  <si>
    <t>نوري1950</t>
  </si>
  <si>
    <t>د السعدني رضوى كفر الشيخ</t>
  </si>
  <si>
    <t>باقي شراءالطرح والواصلات</t>
  </si>
  <si>
    <t>نوري 2100</t>
  </si>
  <si>
    <t>نوري2025</t>
  </si>
  <si>
    <t>جولد اي100</t>
  </si>
  <si>
    <t>جولد ايز200</t>
  </si>
  <si>
    <t>جولد اي300</t>
  </si>
  <si>
    <t>جولد اي400</t>
  </si>
  <si>
    <t>جولد اي500</t>
  </si>
  <si>
    <t>جولد اي600</t>
  </si>
  <si>
    <t>جولد اي700</t>
  </si>
  <si>
    <t>ابو يوسف/تم السداد ك</t>
  </si>
  <si>
    <t>د السعدني دوا/تم السداد ك</t>
  </si>
  <si>
    <t>كهربا بيت د/السعدني/تم السداد ك</t>
  </si>
  <si>
    <t>من حساب تصليح جهاز الفاكو (واصل 160 متبقي 20)/تم السداد ك</t>
  </si>
  <si>
    <t>من حساب تصليح جهاز الفاكو (واصل 140 متبقي 40)/تم السداد ك</t>
  </si>
  <si>
    <t>من حساب تصليح جهاز الفاكو (واصل 180 خالص)تم ك</t>
  </si>
  <si>
    <t>ابو يوسف/الدكتوره/تم ك</t>
  </si>
  <si>
    <t>كهربا الدار/تم</t>
  </si>
  <si>
    <t>فك وتركيب صيدلية سبرباي/تم</t>
  </si>
  <si>
    <t>سداد الدوا</t>
  </si>
  <si>
    <t>ابو يوسف/البيت مبيدات تم</t>
  </si>
  <si>
    <t>د السعدني/الجمعية تم</t>
  </si>
  <si>
    <t>كهربا الدار تم</t>
  </si>
  <si>
    <t>د السعدني ابو يوسف الارض تم</t>
  </si>
  <si>
    <t>مصطفى السعدني نقدا</t>
  </si>
  <si>
    <t>نوري 2250</t>
  </si>
  <si>
    <t>بالطو</t>
  </si>
  <si>
    <t>السعدني / ليكويد</t>
  </si>
  <si>
    <t>سلاكة اذن</t>
  </si>
  <si>
    <t>نوري2325</t>
  </si>
  <si>
    <t>اقلام</t>
  </si>
  <si>
    <t>شاي/سكر/شاي اخضر</t>
  </si>
  <si>
    <t>نوري2400</t>
  </si>
  <si>
    <t>نوري2625</t>
  </si>
  <si>
    <t xml:space="preserve">جاون طبيب/100*22 </t>
  </si>
  <si>
    <t>بالطوهات تفصيل 17*250</t>
  </si>
  <si>
    <t>تحت حساب عيادة طنطا شهر10</t>
  </si>
  <si>
    <t>السعدني</t>
  </si>
  <si>
    <t>نوري 2775</t>
  </si>
  <si>
    <t>سلفة رضا/تم</t>
  </si>
  <si>
    <t>رضا تم السداد</t>
  </si>
  <si>
    <t>طه /تم31-10</t>
  </si>
  <si>
    <t>نوري3000</t>
  </si>
  <si>
    <t>طنطا / نت الشروق</t>
  </si>
  <si>
    <t>السعدني / قهوه</t>
  </si>
  <si>
    <t>الخميس ورديه تانيه / كوريكتور</t>
  </si>
  <si>
    <t>نوري75</t>
  </si>
  <si>
    <t>نوري سداد شهر10</t>
  </si>
  <si>
    <t>نوري150</t>
  </si>
  <si>
    <t>صافي/تم السداد4-11</t>
  </si>
  <si>
    <t>نوري450</t>
  </si>
  <si>
    <t>ابو يوسف بنزين</t>
  </si>
  <si>
    <t>الجاونات مواصلات عصام</t>
  </si>
  <si>
    <t>ابو يوسف الدكتوره</t>
  </si>
  <si>
    <t>جولد اي 160</t>
  </si>
  <si>
    <t>طنطا/ مكواه</t>
  </si>
  <si>
    <t>نوري 1200</t>
  </si>
  <si>
    <t>زايد 85</t>
  </si>
  <si>
    <t>نسبة شهر10</t>
  </si>
  <si>
    <t>فودافون د السعدني</t>
  </si>
  <si>
    <t>صافي لاول الشهر/تم السداد10-11</t>
  </si>
  <si>
    <t>مينا تورز د السعدني</t>
  </si>
  <si>
    <t>اضافي سارة</t>
  </si>
  <si>
    <t>سارة/تم السداد من الاضافي11-11</t>
  </si>
  <si>
    <t>منظفات+كوريكتور</t>
  </si>
  <si>
    <t>خطأفي حساب د السعدني/فرق حالة مياه بيضا بطاقة صحية</t>
  </si>
  <si>
    <t>سكر 2 ك الشروق</t>
  </si>
  <si>
    <t>محمد رمضان</t>
  </si>
  <si>
    <t>اوفو205</t>
  </si>
  <si>
    <t>شعاع325</t>
  </si>
  <si>
    <t>اوفو290</t>
  </si>
  <si>
    <t>نوري2175</t>
  </si>
  <si>
    <t>يافطة ارض السعدني+ مواصلات عصام +عصام كفرالشيخ</t>
  </si>
  <si>
    <t xml:space="preserve"> ادوات مكتبية+ اكواب بلاستيك+مواصلات عصام مرتين</t>
  </si>
  <si>
    <t>الدار دالسعدني</t>
  </si>
  <si>
    <t>قطرات 100*27.5فارما تيرز</t>
  </si>
  <si>
    <t>صيانة الطابعة في الشروق(تغييرجزء خروج الورق)</t>
  </si>
  <si>
    <t>ابو يوسف ستات+طلبات د السعدني</t>
  </si>
  <si>
    <t>محمد رمضان الصيدلية</t>
  </si>
  <si>
    <t>انتقالات المحامي</t>
  </si>
  <si>
    <t>نوري2250</t>
  </si>
  <si>
    <t>اسطوانتين نيتروجين</t>
  </si>
  <si>
    <t>نوري2475</t>
  </si>
  <si>
    <t>نوري2850</t>
  </si>
  <si>
    <t>مواصلات عصام 3 مرات ابن سينا+عمر الفاطمية</t>
  </si>
  <si>
    <t>لمبة لليونت</t>
  </si>
  <si>
    <t>عدد23 قطرة تايمر</t>
  </si>
  <si>
    <t>فيزا البنك الاهلي</t>
  </si>
  <si>
    <t>هدير/تم السداد</t>
  </si>
  <si>
    <t>شاي الشروق</t>
  </si>
  <si>
    <t>شاي / سكر بطرس</t>
  </si>
  <si>
    <t>نوري 3150</t>
  </si>
  <si>
    <t>نوري 3225</t>
  </si>
  <si>
    <t>نوري 3450</t>
  </si>
  <si>
    <t>قطرات (14 ميدرابيد+20 بلجيكا*35)</t>
  </si>
  <si>
    <t>نوري 3525</t>
  </si>
  <si>
    <t>د كريم ورق</t>
  </si>
  <si>
    <t>مكافاءة عصام يافطة المعرض</t>
  </si>
  <si>
    <t xml:space="preserve">مصطفى السعدني </t>
  </si>
  <si>
    <t>نوري3750</t>
  </si>
  <si>
    <t>اوفو375</t>
  </si>
  <si>
    <t>تم السداد1-12</t>
  </si>
  <si>
    <t>الجمعيات د السعدني</t>
  </si>
  <si>
    <t>ك الشيخ/مصطفى</t>
  </si>
  <si>
    <t>كفر الشيخ/عصام</t>
  </si>
  <si>
    <t>تقفيل حساب نوري</t>
  </si>
  <si>
    <t>دسعيد/تم1-12</t>
  </si>
  <si>
    <t>جولداي</t>
  </si>
  <si>
    <t>د محمد رسالة</t>
  </si>
  <si>
    <t>سكر وملح وخل</t>
  </si>
  <si>
    <t>محاليل</t>
  </si>
  <si>
    <t>كاتل</t>
  </si>
  <si>
    <t>اوفو85</t>
  </si>
  <si>
    <t>مواصلات ابن سينا التلات والسبت</t>
  </si>
  <si>
    <t>عصام كفر الشيخ.</t>
  </si>
  <si>
    <t>اورانج+فودافون</t>
  </si>
  <si>
    <t>اصلاح كرسي البنتا كام</t>
  </si>
  <si>
    <t>شنط قطرات</t>
  </si>
  <si>
    <t>اظرف واقلام</t>
  </si>
  <si>
    <t>تحويل دولار لد السعدني تم السداد / + 10800 من شنطة حسابات كفرالشيخ</t>
  </si>
  <si>
    <t>اوفو170</t>
  </si>
  <si>
    <t xml:space="preserve"> ورق طباعه5*80ج+5*70ج+انتقالات+مواصلات كرسي بنتاكام الشروق</t>
  </si>
  <si>
    <t>نوري1200</t>
  </si>
  <si>
    <t>النسبة+مكافأة د السعدني</t>
  </si>
  <si>
    <t>صافي/تم السداد10-12</t>
  </si>
  <si>
    <t>ابو يوسف طلبات للبيت</t>
  </si>
  <si>
    <t>تحت حساب باب الشروق</t>
  </si>
  <si>
    <t>نوري1575</t>
  </si>
  <si>
    <t>قطرة تايمر مروة</t>
  </si>
  <si>
    <t>كرتونتين بيتادين</t>
  </si>
  <si>
    <t>نوري 1800</t>
  </si>
  <si>
    <t>شاي احمر و اخضر</t>
  </si>
  <si>
    <t>نوري 1875</t>
  </si>
  <si>
    <t>الورديه / السعدني</t>
  </si>
  <si>
    <t>ابو يوسف / سكرتارية الجامعه</t>
  </si>
  <si>
    <t>اشعه تعاقد 2/ سكر</t>
  </si>
  <si>
    <t>شنطة هدايا د السعدني</t>
  </si>
  <si>
    <t>قهوه السعدني</t>
  </si>
  <si>
    <t>طباعة</t>
  </si>
  <si>
    <t>نوري 1950</t>
  </si>
  <si>
    <t>ابو يوسف / المقابر</t>
  </si>
  <si>
    <t>حبر طابعه / اسود و احمر بنتاكام</t>
  </si>
  <si>
    <t>حبر طابعه / ازرق و اصفر بنتاكام / استقبال</t>
  </si>
  <si>
    <t xml:space="preserve">السعدني / طه تحويل محفظه      </t>
  </si>
  <si>
    <t>ام محمود/تمالسداد22-12</t>
  </si>
  <si>
    <t>ام محمود/تم السداد22-12</t>
  </si>
  <si>
    <t>مواصلات عصام بن سينا 3 مرات</t>
  </si>
  <si>
    <t>ك سكر</t>
  </si>
  <si>
    <t>طباعة نورا</t>
  </si>
  <si>
    <t>عصام/الجونات100*22+40مواصلات</t>
  </si>
  <si>
    <t xml:space="preserve">تحت حساب ضرايب الصفوة د السعدني </t>
  </si>
  <si>
    <t>د السعدني / د تيمور</t>
  </si>
  <si>
    <t>اوفو680</t>
  </si>
  <si>
    <t>اوفو255</t>
  </si>
  <si>
    <t>اوفو425</t>
  </si>
  <si>
    <t>اوفو595</t>
  </si>
  <si>
    <t>طه مواصلات</t>
  </si>
  <si>
    <t>اوفو765</t>
  </si>
  <si>
    <t>قطرات مضاد حيوي الشروق</t>
  </si>
  <si>
    <t>بينوكس20*25+2 سيكلو فرين</t>
  </si>
  <si>
    <t>م سعاد</t>
  </si>
  <si>
    <t>مصطفى السعدني انستا اوفو</t>
  </si>
  <si>
    <t>تقفيل حساب اوفو حتى 30-9</t>
  </si>
  <si>
    <t>اوفو850</t>
  </si>
  <si>
    <t>مرتجع كشف ا/نفيسة/تحويل كاش مروة</t>
  </si>
  <si>
    <t xml:space="preserve">كهربا </t>
  </si>
  <si>
    <t>د السعدني / اللاب</t>
  </si>
  <si>
    <t>اوفو تقفيل 11</t>
  </si>
  <si>
    <t>نوري2925</t>
  </si>
  <si>
    <t>اوفو935</t>
  </si>
  <si>
    <t>شاي و2سكر الشروق</t>
  </si>
  <si>
    <t>السعدني / عمر</t>
  </si>
  <si>
    <t>ساره /تم1-1</t>
  </si>
  <si>
    <t>ايجارالشروق</t>
  </si>
  <si>
    <t>الجمعية د السعدني</t>
  </si>
  <si>
    <t>انستاباي مصطفى السعدني</t>
  </si>
  <si>
    <t>مواصلات عصام ابن سينا</t>
  </si>
  <si>
    <t>د السعدني تأمينات</t>
  </si>
  <si>
    <t>دفع التامينات</t>
  </si>
  <si>
    <t>كفر الشيخ</t>
  </si>
  <si>
    <t>د السعدني مروة</t>
  </si>
  <si>
    <t>عمولة دفع التأمينات</t>
  </si>
  <si>
    <t>مقدم 1000 كارت نضارة</t>
  </si>
  <si>
    <t>البنات قرأن</t>
  </si>
  <si>
    <t>البنات عربي</t>
  </si>
  <si>
    <t>مفاتيح باب الشروق4*15</t>
  </si>
  <si>
    <t>كريزي</t>
  </si>
  <si>
    <t>نمير مرتجع من 1-8 حتى 31-12(باقي1900)</t>
  </si>
  <si>
    <t>طباعة مروة</t>
  </si>
  <si>
    <t>نوري 525</t>
  </si>
  <si>
    <t>اوفو340</t>
  </si>
  <si>
    <t>هدير/تم السداد9-10</t>
  </si>
  <si>
    <t>العربية ابو يوسف</t>
  </si>
  <si>
    <t>السعدني/قران</t>
  </si>
  <si>
    <t>باقي حساب كروت نظاره</t>
  </si>
  <si>
    <t>اوفو510</t>
  </si>
  <si>
    <t>زيادة لحالة صالح فريد</t>
  </si>
  <si>
    <t>نوري825</t>
  </si>
  <si>
    <t>قطرات سانوليفوكس 100*44.25</t>
  </si>
  <si>
    <t>التامينات</t>
  </si>
  <si>
    <t>حساب 10 ايام هدير 100*9 حتي شهر 12 + يوم من شهر 1</t>
  </si>
  <si>
    <t>تركيب حنفية الشروق</t>
  </si>
  <si>
    <t>طه التأمينات+مواصلات الصواف مرتين</t>
  </si>
  <si>
    <t xml:space="preserve"> عيون الشروق1000كارت</t>
  </si>
  <si>
    <t>ضيافة</t>
  </si>
  <si>
    <t>اظرف+طباعة</t>
  </si>
  <si>
    <t>نوري 1125</t>
  </si>
  <si>
    <t xml:space="preserve">عدد 200 قطرة </t>
  </si>
  <si>
    <t xml:space="preserve"> مستلزمات الشروق/عصام+مواصلات</t>
  </si>
  <si>
    <t>شحن الميتال هيد-مرتجع ابن سينا مواصلات عصام(2500-300)</t>
  </si>
  <si>
    <t>د نمير باقي حسابه حتى 31-12</t>
  </si>
  <si>
    <t>نوري1500</t>
  </si>
  <si>
    <t>ابو يوسف الدكتوره-مفحمة وعيش</t>
  </si>
  <si>
    <t>دالسعدني الدار</t>
  </si>
  <si>
    <t>كلوركس</t>
  </si>
  <si>
    <t>كارت تحويل عيون الشروق1000*1.3</t>
  </si>
  <si>
    <t xml:space="preserve"> ورق5 باكت70+5 باكت80 وملفات شفافة 3*85+مواصلات</t>
  </si>
  <si>
    <t xml:space="preserve">زيادة لحالة </t>
  </si>
  <si>
    <t xml:space="preserve">علبة تعقيم صغيرة </t>
  </si>
  <si>
    <t>اوفو1020</t>
  </si>
  <si>
    <t>قماش+اوفر شوز+انتقالات عصام</t>
  </si>
  <si>
    <t>مواصلات طه بن سينا والصواف</t>
  </si>
  <si>
    <t>نوري1800</t>
  </si>
  <si>
    <t>عصام ابن سينا ودالصواف</t>
  </si>
  <si>
    <t>د السعدني فايلات حسن</t>
  </si>
  <si>
    <t>مرتجع كشف دالسعدني محمد سيد</t>
  </si>
  <si>
    <t>مواصلات كروت التحويل</t>
  </si>
  <si>
    <t>حساب المناديل+مواصلات</t>
  </si>
  <si>
    <t>جاد شهرية+فلونس</t>
  </si>
  <si>
    <t>مرتجع قطرات</t>
  </si>
  <si>
    <t>السعدني / طريقي</t>
  </si>
  <si>
    <t>اوفو 85</t>
  </si>
  <si>
    <t>البكر50*20</t>
  </si>
  <si>
    <t>نوري 300</t>
  </si>
  <si>
    <t>صيانة حمام وكييفات الشروق</t>
  </si>
  <si>
    <t>بيتادين+كلور</t>
  </si>
  <si>
    <t>نوري تقفيل 1</t>
  </si>
  <si>
    <t xml:space="preserve">طه  الصواف </t>
  </si>
  <si>
    <t>م.الساحل+فيزاcib/د السعدني</t>
  </si>
  <si>
    <t>فودافون واورانج+دالسعدني</t>
  </si>
  <si>
    <t>مستلزمات للشروق</t>
  </si>
  <si>
    <t>مواصلات عصام مرتين ابنسينا+باور الكاميرا</t>
  </si>
  <si>
    <t>باور الكاميرا</t>
  </si>
  <si>
    <t>نت 10لـ2+نت الشروق 2</t>
  </si>
  <si>
    <t>د السعدني/النادي</t>
  </si>
  <si>
    <t>نوري 750</t>
  </si>
  <si>
    <t>ساره ليوم 10</t>
  </si>
  <si>
    <t>نورا لاول الشهر</t>
  </si>
  <si>
    <t>اوفو</t>
  </si>
  <si>
    <t>فيزا البنك الاهلي شهر 1 / غلطه في الحساب</t>
  </si>
  <si>
    <t>ابو يوسف / بنزين</t>
  </si>
  <si>
    <t>ابو يوسف / الدكتوره</t>
  </si>
  <si>
    <t>السعدني / ريموت</t>
  </si>
  <si>
    <t xml:space="preserve"> حساب مقابض العيادة ابو يوسف</t>
  </si>
  <si>
    <t>شاي+شاي اخضر</t>
  </si>
  <si>
    <t>اوردر د السعدني</t>
  </si>
  <si>
    <t xml:space="preserve">د.السعدني / مشروع العلاج </t>
  </si>
  <si>
    <t>د. السعدني / مينا تورز</t>
  </si>
  <si>
    <t>قطرة د محمد</t>
  </si>
  <si>
    <t>لمبة للبروجكتور عيادة الشروق</t>
  </si>
  <si>
    <t xml:space="preserve"> مستلزمات رول تعقيم+اوفر شوز وهيد+مواصلات</t>
  </si>
  <si>
    <t>تجديد النفايات</t>
  </si>
  <si>
    <t>السعدني / نضاره</t>
  </si>
  <si>
    <t>محاليل40*18</t>
  </si>
  <si>
    <t xml:space="preserve"> اساتك واظرف 60+40مواصلات ابن سينا</t>
  </si>
  <si>
    <t>بولي فريش100*126.25+جاتي ستار100*45</t>
  </si>
  <si>
    <t>حجاره</t>
  </si>
  <si>
    <t>لمبه</t>
  </si>
  <si>
    <t>لمبة اليونيت عياده 2</t>
  </si>
  <si>
    <t>نوري2100</t>
  </si>
  <si>
    <t>مسامير</t>
  </si>
  <si>
    <t>بيرسول</t>
  </si>
  <si>
    <t>هشام/العلاج الحر</t>
  </si>
  <si>
    <t>تحت حساب جاونات</t>
  </si>
  <si>
    <t>ريهام يسترد التلات</t>
  </si>
  <si>
    <t>اسطوانة الجهاز</t>
  </si>
  <si>
    <t>ابو يوسف / بنزين و الدكتوره</t>
  </si>
  <si>
    <t>قطرة مضاد حيوي / ايمان</t>
  </si>
  <si>
    <t>السعدني / نظارات</t>
  </si>
  <si>
    <t>عصام مواصلات ابن سينا</t>
  </si>
  <si>
    <t>مرتبات المركز</t>
  </si>
  <si>
    <t>نقص الشفت الاول</t>
  </si>
  <si>
    <t>د محمد رسالة/تم</t>
  </si>
  <si>
    <t>شنطة رمضان</t>
  </si>
  <si>
    <t>كفرالشيخ</t>
  </si>
  <si>
    <t>الجمعية-محمد سلطتن</t>
  </si>
  <si>
    <t>نوري تقفيل شهر2</t>
  </si>
  <si>
    <t>د السعدني فودافون</t>
  </si>
  <si>
    <t>المركز فودافون</t>
  </si>
  <si>
    <t>اظرف</t>
  </si>
  <si>
    <t>تصليح شاشة الشروق</t>
  </si>
  <si>
    <t>مواصلات عصام مرتين ابن سينا+مرتين تصليح الشاشة</t>
  </si>
  <si>
    <t>تصليح كالون الشروق</t>
  </si>
  <si>
    <t>شمع</t>
  </si>
  <si>
    <t>الطابعة</t>
  </si>
  <si>
    <t xml:space="preserve"> جونتيات5 علب+4اوفر شوز</t>
  </si>
  <si>
    <t>طرد د السعدني</t>
  </si>
  <si>
    <t>صيانة السيرفر</t>
  </si>
  <si>
    <t>د السعدني عبدالحميد</t>
  </si>
  <si>
    <t>الكشاف</t>
  </si>
  <si>
    <t>تقفيل مواصلات ابن سينا+ الادوات المكتبية</t>
  </si>
  <si>
    <t>ابويوسف</t>
  </si>
  <si>
    <t>نسبة كشف د سعيد</t>
  </si>
  <si>
    <t xml:space="preserve">كهربا الدار </t>
  </si>
  <si>
    <t>شاحن دي في ار</t>
  </si>
  <si>
    <t>لمبة+مفاتيح عصام</t>
  </si>
  <si>
    <t>ابويوسف بلاستكات للمركز</t>
  </si>
  <si>
    <t>هدير اضافي الفنيين</t>
  </si>
  <si>
    <t>تقفيل  جولد اي حتى شهر2</t>
  </si>
  <si>
    <t>اضافي الشروق شهر فبراير ويناير</t>
  </si>
  <si>
    <t>صيانة كالون باب المركز بطرس</t>
  </si>
  <si>
    <t>علاج دالسعدني</t>
  </si>
  <si>
    <t>مواصلات ابن سينا مرتين</t>
  </si>
  <si>
    <t>زيادة لحالة غير معروفة</t>
  </si>
  <si>
    <t>حساب العصاير 50 عبوه</t>
  </si>
  <si>
    <t>الفطار45*205</t>
  </si>
  <si>
    <t>قهوة+2 شاي+ك سكر</t>
  </si>
  <si>
    <t xml:space="preserve"> حساب الفراشة1200+200مشال</t>
  </si>
  <si>
    <t>انستا باي مصطفى السعدني</t>
  </si>
  <si>
    <t>د السعدني يوم بكره او التلات-سدد18000 من اصل 20000يوم25</t>
  </si>
  <si>
    <t>قطرة مونو دوكسين</t>
  </si>
  <si>
    <t>تصليح الشنطة ابويوسف</t>
  </si>
  <si>
    <t>العيدية21*200</t>
  </si>
  <si>
    <t>بنزين ابو يوسف</t>
  </si>
  <si>
    <t>شفت ونص لهدير (فني) شفت يوم 24-3+نص شفت25-3</t>
  </si>
  <si>
    <t>من حساب العيادة</t>
  </si>
  <si>
    <t>نسبة كشف د سعيد3 كشوفات</t>
  </si>
  <si>
    <t>صرف فرق الزيادة السنوية محمود الفني</t>
  </si>
  <si>
    <t>جمعية الرضوان+ا محمد سلطان</t>
  </si>
  <si>
    <t>تقفيل نوري</t>
  </si>
  <si>
    <t>صافي غدا</t>
  </si>
  <si>
    <t>فرق شفتات د سعيد شهر مارس1292+دسما470</t>
  </si>
  <si>
    <t xml:space="preserve"> لمبات للعيادة</t>
  </si>
  <si>
    <t>شفت هدير فني يوم 7-4</t>
  </si>
  <si>
    <t>سكر 3ك+شاي/الشروق</t>
  </si>
  <si>
    <t>مواصلات عصام ابن سينا 2 مرة</t>
  </si>
  <si>
    <t>حساب 5مفاتيح+كوبايات +مياه+مفرش+بلح</t>
  </si>
  <si>
    <t>مواصلات عصام ابن سينا مرتين خالص حتى اليوم</t>
  </si>
  <si>
    <t>عصام شقة البحر</t>
  </si>
  <si>
    <t>كفر الشيخ د سعيد</t>
  </si>
  <si>
    <t>ام محمود/تم السداد</t>
  </si>
  <si>
    <t>ربع شاي و3 ك سكر</t>
  </si>
  <si>
    <t>هدير/تم السداد10-4</t>
  </si>
  <si>
    <t>السعدني/y2k</t>
  </si>
  <si>
    <t>صافي/تم السداد</t>
  </si>
  <si>
    <t>باور السيرفر</t>
  </si>
  <si>
    <t>صيانةجهاز الضغط</t>
  </si>
  <si>
    <t>طلبات للدكتورة</t>
  </si>
  <si>
    <t>نوري 375</t>
  </si>
  <si>
    <t>كهربا الدار -دالسعدني</t>
  </si>
  <si>
    <t>شفت هدير فني يوم 3-4</t>
  </si>
  <si>
    <t>اقلام+ماركر</t>
  </si>
  <si>
    <t>ابويوسف -بنزين</t>
  </si>
  <si>
    <t>د السعدني -نقدا</t>
  </si>
  <si>
    <t>د السعدني-شقة الصفوة-عصام</t>
  </si>
  <si>
    <t>نوري750</t>
  </si>
  <si>
    <t>محمد جاد</t>
  </si>
  <si>
    <t>وصلات لاب اوضة الاطباء</t>
  </si>
  <si>
    <t>عصام مواصلات ابن سينا حتى22-4</t>
  </si>
  <si>
    <t>مواصلات عصام-باور سبلاي+جهاز الضغط</t>
  </si>
  <si>
    <t>تجديد اشتراك البوابة الاليكترونية عن طريق المكتب</t>
  </si>
  <si>
    <t>رسالة- د محمد</t>
  </si>
  <si>
    <t>النضارة د السعدني</t>
  </si>
  <si>
    <t>اتعاب مكتب المحاسبة</t>
  </si>
  <si>
    <t>نضارة حريمي تبع مصطفى السعدني</t>
  </si>
  <si>
    <t>قطرات هيالوبتيك*100</t>
  </si>
  <si>
    <t>ابو يوسف / دهان</t>
  </si>
  <si>
    <t>نت و ارضي 3 و 4 بطرس و الشروق</t>
  </si>
  <si>
    <t>تحت حساب شاي وسكر</t>
  </si>
  <si>
    <t>نوري1125</t>
  </si>
  <si>
    <t>موتور-ريشة للمروحة</t>
  </si>
  <si>
    <t>طه الشفت التاني</t>
  </si>
  <si>
    <t>طرد الدكتوره</t>
  </si>
  <si>
    <t>د السعدني اسكندريه / البنات</t>
  </si>
  <si>
    <t>شفت هدير الاتنين28-4</t>
  </si>
  <si>
    <t>قطرات30بينوكسيديا+30يونيسيكلومايد</t>
  </si>
  <si>
    <t>السعدني / بسيوني</t>
  </si>
  <si>
    <t>ابو يوسف دهان البرجولا</t>
  </si>
  <si>
    <t>قطرة موكسي فلوكس 100*24.10</t>
  </si>
  <si>
    <t>شفت هديرالاربعاء30-4</t>
  </si>
  <si>
    <t>فيزا cib يستردوا من د السعدني</t>
  </si>
  <si>
    <t>مواصلات طه الصواف مرتين</t>
  </si>
  <si>
    <t>عصام مواصلات ابن سينا حتى 08/05+حالة فيمتو</t>
  </si>
  <si>
    <t>د سعيد 3 كشوفات شهر ابريل طنطا</t>
  </si>
  <si>
    <t>منظفات/خصم6 جنيه</t>
  </si>
  <si>
    <t>37*2 ك سكر</t>
  </si>
  <si>
    <t>الات د السعدني</t>
  </si>
  <si>
    <t>مصطفى السعدني /اللاب</t>
  </si>
  <si>
    <t>حالة اشعة د محمد</t>
  </si>
  <si>
    <t>تصليح كرسي العيادة(نغيير نجمة)</t>
  </si>
  <si>
    <t>ماوس</t>
  </si>
  <si>
    <t>كيبورد وكابلات للاب د السعدني</t>
  </si>
  <si>
    <t>د نمير</t>
  </si>
  <si>
    <t>ورق جرام80*5*130+مواصلات(650+40)</t>
  </si>
  <si>
    <t>اقراص لحالة طلبها د السعدني</t>
  </si>
  <si>
    <t>فيمتو/عصام الفيمتو</t>
  </si>
  <si>
    <t>وارد من د السعدني فرق حساب العدسة 20000-17000</t>
  </si>
  <si>
    <t>رول طباعة م سعاد</t>
  </si>
  <si>
    <t>كوبيات</t>
  </si>
  <si>
    <t>قطرة اوفتابانتين3/190</t>
  </si>
  <si>
    <t>فلورو تاتش2*350+الشحن</t>
  </si>
  <si>
    <t>ورق70 جرام5*120+مواصلات</t>
  </si>
  <si>
    <t>باقي بالطوهات اجمالي275</t>
  </si>
  <si>
    <t>مواصلا عصام ابن سينا الاسبوعية</t>
  </si>
  <si>
    <t>ام محمود</t>
  </si>
  <si>
    <t>شاي وخل</t>
  </si>
  <si>
    <t>ادبتور+مواصلات</t>
  </si>
  <si>
    <t>ريشة مروحة مصطفى السعدني</t>
  </si>
  <si>
    <t>دعايا فيس</t>
  </si>
  <si>
    <t>بقصماط</t>
  </si>
  <si>
    <t>جاد اسطوانة +شهرية</t>
  </si>
  <si>
    <t>شاي +سكر</t>
  </si>
  <si>
    <t>مصطفى السعدني /الشروق</t>
  </si>
  <si>
    <t>شاي وسكر الشروق</t>
  </si>
  <si>
    <t>شهادات البنات</t>
  </si>
  <si>
    <t>ابويوسف(بنزين+طلبات للدكتورة)</t>
  </si>
  <si>
    <t>اوفر شوز8*45+جوانتي(8.5*1050*2)+جوانتي7.5(2*975)+انتقالات+ابن سينا</t>
  </si>
  <si>
    <t>تحت حساب جزامة</t>
  </si>
  <si>
    <t xml:space="preserve"> جاونات110*22+1 سرنجة5سم*315+1سرنجة3 سم*300</t>
  </si>
  <si>
    <t>مكافأة د السعدني+سارة</t>
  </si>
  <si>
    <t>كجول16*40</t>
  </si>
  <si>
    <t>شفت هدير الاتنين26-5</t>
  </si>
  <si>
    <t>سرنجتين 10 سم</t>
  </si>
  <si>
    <t>ميدرابيد 5 علب</t>
  </si>
  <si>
    <t>ايمن فايد</t>
  </si>
  <si>
    <t>الجمعيات (الرضوان+ا محمد سلطان )</t>
  </si>
  <si>
    <t>اساتك</t>
  </si>
  <si>
    <t>ابو يوسف/الدكتوره</t>
  </si>
  <si>
    <t>نوري 1425</t>
  </si>
  <si>
    <t>العيادة</t>
  </si>
  <si>
    <t>هدير/تم السداد1-6</t>
  </si>
  <si>
    <t>علبتين سرنجات 10 سم*325+10 فايل *65+3 كابولي*155+80 مشوارين</t>
  </si>
  <si>
    <t>نسبة د سعيد 4 كشوفات*140+كشف *60</t>
  </si>
  <si>
    <t>تغيير حبر طابعة الشروق</t>
  </si>
  <si>
    <t>نسبة ومرتب مروة (مرتجع) شهر5</t>
  </si>
  <si>
    <t>نسبة ومرتب مروة (مرتجع) شهر 4</t>
  </si>
  <si>
    <t>الشناوي/تم السداد</t>
  </si>
  <si>
    <t>هدير شفت فني2-6</t>
  </si>
  <si>
    <t>د السعدني / مينا تورز</t>
  </si>
  <si>
    <t>م/رضا سلفة/تم</t>
  </si>
  <si>
    <t>تقفيل نوري+خصم حالة ندا خطأ في المقاس</t>
  </si>
  <si>
    <t>سيكلو فرين10</t>
  </si>
  <si>
    <t>العيدية01*200</t>
  </si>
  <si>
    <t>صافي/تمالسداد10-6</t>
  </si>
  <si>
    <t>صافي ليوم 10\4-تم سداد300</t>
  </si>
  <si>
    <t>شفت هدير الثلاثاء10-6</t>
  </si>
  <si>
    <t>ام محمود/تم السداد10-6</t>
  </si>
  <si>
    <t>مصطفى طه/تم السداد10-6</t>
  </si>
  <si>
    <t>تحت حساب تليفون لخطوط العيادة/عصام</t>
  </si>
  <si>
    <t>كهرباء/طه</t>
  </si>
  <si>
    <t>صيانة طابعة</t>
  </si>
  <si>
    <t xml:space="preserve"> جاونات100*22 +مناديل سحب2*425+2 حمام*275+80 مشوارين</t>
  </si>
  <si>
    <t>ابو يوسف (الدكتورة+هشام)</t>
  </si>
  <si>
    <t>م/رضا</t>
  </si>
  <si>
    <t xml:space="preserve">اقلام ودفاتر+بالطوهات+انتقالات ابن سينا </t>
  </si>
  <si>
    <t>تقفيل جولد اي حتى31-5</t>
  </si>
  <si>
    <t>ماية الساحل</t>
  </si>
  <si>
    <t>شفت هدير</t>
  </si>
  <si>
    <t>صافي/تم السداد17-6</t>
  </si>
  <si>
    <t>مصطفى السعدني انستا</t>
  </si>
  <si>
    <t>ا محمد نوار</t>
  </si>
  <si>
    <t>مواصلات عصام ابن سينا+كوبايات+بادة ماوس+مشترك</t>
  </si>
  <si>
    <t>صيانة يونت عيادة 2</t>
  </si>
  <si>
    <t>لزق الشروق</t>
  </si>
  <si>
    <t>تقفيل اوفوحتى31-3</t>
  </si>
  <si>
    <t>باقي فلوس فيزا البنك الاهلي تسترد من فلوس العياده +21700</t>
  </si>
  <si>
    <t>ابو يوسف/العربيه</t>
  </si>
  <si>
    <t>ماوس وايرلس</t>
  </si>
  <si>
    <t>بقسماط</t>
  </si>
  <si>
    <t>التأمينات</t>
  </si>
  <si>
    <t>شفت هدير يوم لتنين23-6</t>
  </si>
  <si>
    <t>بسيوني 1000/ اوردر الدكتوره 2200</t>
  </si>
  <si>
    <t>عمولة تأمينات+مشوار</t>
  </si>
  <si>
    <t>مرتجع قطرات يوم الاحد22-7/رامي</t>
  </si>
  <si>
    <t>تحت حساب باندانات هدير(10*50)</t>
  </si>
  <si>
    <t>السعدني / البيت</t>
  </si>
  <si>
    <t>عدد20محلول*20+2 جوانتي معقم*1050+2سرنجات*260+80مواصلات</t>
  </si>
  <si>
    <t>كوبايات+مواصلات</t>
  </si>
  <si>
    <t>كارت نضارة طنا كفرالشيخ 2000*.75+2 ختم دائري</t>
  </si>
  <si>
    <t>ابو يوسف / بنزين و بسطرمه</t>
  </si>
  <si>
    <t>بلاطي</t>
  </si>
  <si>
    <t>تحت حساب درج الاستقيال</t>
  </si>
  <si>
    <t>مشتريات د نجوى</t>
  </si>
  <si>
    <t>زيادة حالة فادية</t>
  </si>
  <si>
    <t>اكرامية الاوردرحسن فايد</t>
  </si>
  <si>
    <t>تحت حساب كفرات الاشعه</t>
  </si>
  <si>
    <t>صافي</t>
  </si>
  <si>
    <t>هدير شفت فني30-6</t>
  </si>
  <si>
    <t>عصام فيمتو</t>
  </si>
  <si>
    <t>مصطفى السعدني الفيمتو /انستاباي</t>
  </si>
  <si>
    <t>الشناوي لاول الشهر/تم1-7</t>
  </si>
  <si>
    <t>كشوفات فيزيتا *140*5+كشوفات المركز5*115(دسعيد)</t>
  </si>
  <si>
    <t xml:space="preserve">دسعيد </t>
  </si>
  <si>
    <t>شفت هدير1-7 بديلا للفني</t>
  </si>
  <si>
    <t>السعدني/فلوماك/بنزين</t>
  </si>
  <si>
    <t>شاي+2ك سكر</t>
  </si>
  <si>
    <t>تاكسي الشروق حالة تبع د السعدني</t>
  </si>
  <si>
    <t>شفت هدير2-7 بديلا للفني</t>
  </si>
  <si>
    <t>طرد د سعيد</t>
  </si>
  <si>
    <t>اعلانات فيس حتي 3-7-2025</t>
  </si>
  <si>
    <t>فيزا cib يخصم من العياده</t>
  </si>
  <si>
    <t>جولد اي 455</t>
  </si>
  <si>
    <t>باقي فحص تحويل محفظه</t>
  </si>
  <si>
    <t>جمعية محمد سلطان</t>
  </si>
  <si>
    <t>اورانج + فودافون</t>
  </si>
  <si>
    <t>عدسات شركة يس تسترد من د السعدني</t>
  </si>
  <si>
    <t>السعدني / فلوماك</t>
  </si>
  <si>
    <t>ينوسن</t>
  </si>
  <si>
    <t>ريهام ليوم السبت-تم7-7</t>
  </si>
  <si>
    <t>بوكسين مشارط SBK130</t>
  </si>
  <si>
    <t>فيمتو-(5 مشارط ميتال هيد ابن سينا)</t>
  </si>
  <si>
    <t>المبلغ</t>
  </si>
  <si>
    <t>عصام تحت حساب ورق</t>
  </si>
  <si>
    <t>رواتر للمركز</t>
  </si>
  <si>
    <t>مواصلات حالة الفيمتو 500 مركز/500 د السعدني</t>
  </si>
  <si>
    <t>صافي تم سداد 500 متبقي 100</t>
  </si>
  <si>
    <t>نورا لاول الشهر/تم السداد</t>
  </si>
  <si>
    <t>نسبة نورا</t>
  </si>
  <si>
    <t>نسبة م فاطمه</t>
  </si>
  <si>
    <t xml:space="preserve">اوفو </t>
  </si>
  <si>
    <t>جولد</t>
  </si>
  <si>
    <t>باقي حساب الفولدرات</t>
  </si>
  <si>
    <t>مواصلات ابن سينا 4 مرات</t>
  </si>
  <si>
    <t>تاب للعياده</t>
  </si>
  <si>
    <t>طابعة عيادة</t>
  </si>
  <si>
    <t>صيانة تكييفات الشروق</t>
  </si>
  <si>
    <t>شفت هدير يوم الاتنين14-7</t>
  </si>
  <si>
    <t>اوردر</t>
  </si>
  <si>
    <t>صيانة كرسي العيادة</t>
  </si>
  <si>
    <t>ميناتورز+انتقالات</t>
  </si>
  <si>
    <t>سكر وشاي الشروق</t>
  </si>
  <si>
    <t>السعدني البيت</t>
  </si>
  <si>
    <t xml:space="preserve"> السعدني البيت</t>
  </si>
  <si>
    <t>جاونات وجوانتيات+محاليل20*18+كابل طابعة ش+جراب د السعدني+س.نت+4 مواصلات</t>
  </si>
  <si>
    <t>نجمة بطقم عجل</t>
  </si>
  <si>
    <t>دوا مصطفى السعدني</t>
  </si>
  <si>
    <t>اشعة انستاباي</t>
  </si>
  <si>
    <t>م رضا</t>
  </si>
  <si>
    <t>د السعدني نقدا/تم السداد من مصطفى السعدني البيت</t>
  </si>
  <si>
    <t>انستا</t>
  </si>
  <si>
    <t>كفر موبايل د السعدني</t>
  </si>
  <si>
    <t>اوردر السعدني</t>
  </si>
  <si>
    <t xml:space="preserve">ابو يوسف /كشف عربية </t>
  </si>
  <si>
    <t>ادوات نافة</t>
  </si>
  <si>
    <t>ابو يوسف/دوا د السعدني</t>
  </si>
  <si>
    <t>سكر4 ك</t>
  </si>
  <si>
    <t>صيانة تكييف الشروق</t>
  </si>
  <si>
    <t>طه /كاش</t>
  </si>
  <si>
    <t>مشارط</t>
  </si>
  <si>
    <t xml:space="preserve">د السعدني </t>
  </si>
  <si>
    <t>تاب حمزه</t>
  </si>
  <si>
    <t>وائل ابو حسين</t>
  </si>
  <si>
    <t>ليد د السعدني</t>
  </si>
  <si>
    <t>ترخيص الباسات</t>
  </si>
  <si>
    <t>اجمالي</t>
  </si>
  <si>
    <t xml:space="preserve">متبقي </t>
  </si>
  <si>
    <t>السعدني المخدر</t>
  </si>
  <si>
    <t>السعدني / عم اشرف</t>
  </si>
  <si>
    <t>شاليه الساحل</t>
  </si>
  <si>
    <t>البالطو</t>
  </si>
  <si>
    <t>سيفون حمام</t>
  </si>
  <si>
    <t>طابعة د سعيد</t>
  </si>
  <si>
    <t>السعدني / العربيه</t>
  </si>
  <si>
    <t>السعدني / انستا</t>
  </si>
  <si>
    <t>دالسعدني</t>
  </si>
  <si>
    <t>جولد أي</t>
  </si>
  <si>
    <t>مشترك للاوتوريف</t>
  </si>
  <si>
    <t>دالسعدني / كمال شمس</t>
  </si>
  <si>
    <t>قطرات</t>
  </si>
  <si>
    <t>جاد يد الجهاز</t>
  </si>
  <si>
    <t>مياده تم السداد</t>
  </si>
  <si>
    <t xml:space="preserve">اوردر السعدني </t>
  </si>
  <si>
    <t>قطرات100هيالوبيتك*31.7</t>
  </si>
  <si>
    <t>عدسات الأمريكي تبع د السعدني</t>
  </si>
  <si>
    <t>انستا مصطفى السعدني</t>
  </si>
  <si>
    <t>توصيل</t>
  </si>
  <si>
    <t>زيادة لحالة29-7/اسلام</t>
  </si>
  <si>
    <t>السعدني /العربية</t>
  </si>
  <si>
    <t>الشناوي</t>
  </si>
  <si>
    <t>مصطفى السعدني/تحاليل الدكتوره</t>
  </si>
  <si>
    <t>حساب العيادة</t>
  </si>
  <si>
    <t>الدكتوره/تابروير</t>
  </si>
  <si>
    <t>حبر طابعة البنتاكام 2 ازرق 1 اصفر</t>
  </si>
  <si>
    <t>تركيب قطع غيار الكارينز</t>
  </si>
  <si>
    <t xml:space="preserve">اوردر الدكتوره </t>
  </si>
  <si>
    <t>فيزا cib / تم السداد كفر الشيخ</t>
  </si>
  <si>
    <t>هدير شفت 28-7</t>
  </si>
  <si>
    <t>جمعية الرضوان +ا محمد سلطان</t>
  </si>
  <si>
    <t>نت بطرس 5 (690) و 6 (550) و 7 (690) و 8 (690)</t>
  </si>
  <si>
    <t>نت الشروق 6 و 7 و 8 (250*3)</t>
  </si>
  <si>
    <t>ارضي بطرس و الشروق 5 و 6 و 7 (60*3)*2</t>
  </si>
  <si>
    <t xml:space="preserve">أبو يوسف بنزين و بسطرمه </t>
  </si>
  <si>
    <t>د سعيد نسبة 4 كشوفات2*140+2*60(خصم)</t>
  </si>
  <si>
    <t>شحن كهربا</t>
  </si>
  <si>
    <t>اشتراك سنوي موقع دليلي ميديكال</t>
  </si>
  <si>
    <t>بسيوني/تم السداد</t>
  </si>
  <si>
    <t>صافي ليوم 10</t>
  </si>
  <si>
    <t>اورانج+فودافون/د السعدني</t>
  </si>
  <si>
    <t>الايجار</t>
  </si>
  <si>
    <t>شفت هدير الاتنين4-8</t>
  </si>
  <si>
    <t>باقي كروت التحويل1500+160 4 مشاوير+2 ستاد للكود+6 ظرف</t>
  </si>
  <si>
    <t>مستلزمات د الصواف</t>
  </si>
  <si>
    <t xml:space="preserve">أبو يوسف تغيير زيت </t>
  </si>
  <si>
    <t>شفت د هبة</t>
  </si>
  <si>
    <t>انستاباي</t>
  </si>
  <si>
    <t>ميناتورز د السعدني/تم السداد10-8كفر الشيخ</t>
  </si>
  <si>
    <t>قطع غيار الكارينز/كفر الشيخ10-8</t>
  </si>
  <si>
    <t>عدسات 125 بوكس</t>
  </si>
  <si>
    <t>طه ابن سينا مرتين</t>
  </si>
  <si>
    <t>أبو يوسف د السعدني</t>
  </si>
  <si>
    <t>الطابعة/د سعيد</t>
  </si>
  <si>
    <t>قطرات بينوكسيديا</t>
  </si>
  <si>
    <t>كاوتش هشام</t>
  </si>
  <si>
    <t>كهربا البيت</t>
  </si>
  <si>
    <t>النسة</t>
  </si>
  <si>
    <t>صيانة تكييف</t>
  </si>
  <si>
    <t>عدد 100 قطرة بولي فريش</t>
  </si>
  <si>
    <t>صافي400/تم سداد/11/10- تم سداد(360 يوم 12\4)-540يوم11-8</t>
  </si>
  <si>
    <t>صافي لاول الشهر-تم 11-8</t>
  </si>
  <si>
    <t>صافي لاول الشهر-60يوم11-8 باقي (700)</t>
  </si>
  <si>
    <t>السعدني بكره</t>
  </si>
  <si>
    <t>قطرات 40</t>
  </si>
  <si>
    <t>ميتوميسن 7 علب*600</t>
  </si>
  <si>
    <t xml:space="preserve">أبو يوسف بنزين </t>
  </si>
  <si>
    <t>إضافي داليا شهر 7</t>
  </si>
  <si>
    <t>إضافي هدير شهر 7</t>
  </si>
  <si>
    <t>إضافي محمود وإسلام شهر 7</t>
  </si>
  <si>
    <t>جولد ايز</t>
  </si>
  <si>
    <t>عجز شفت التاني</t>
  </si>
  <si>
    <t>كهربا الساحل</t>
  </si>
  <si>
    <t>أكياس زباله 20ك + 20ج مواصلات نورا</t>
  </si>
  <si>
    <t>أبو يوسف غسيل العربيه</t>
  </si>
  <si>
    <t>مكافأة د السعدني شيرين شهر 5 و 6 و 7</t>
  </si>
  <si>
    <t>نسبة شهر 5 و أساسي شهر 6 و 7 (شيرين)</t>
  </si>
  <si>
    <t>د السعدني اوردر</t>
  </si>
  <si>
    <t>السعدني/الدكتوره</t>
  </si>
  <si>
    <t>إضافي ايمان شهر 7</t>
  </si>
  <si>
    <t>بينوكس 15*30</t>
  </si>
  <si>
    <t>أسطوانة الجهاز</t>
  </si>
  <si>
    <t>اتصالات كاش السعدني</t>
  </si>
  <si>
    <t>دوسيهات+اساتك+فايلات شفافة+انتقالات</t>
  </si>
  <si>
    <t>مرتب جاد/شهرية</t>
  </si>
  <si>
    <t>إضافي صافي شهر 7</t>
  </si>
  <si>
    <t>تحت حساب تحليل العينه</t>
  </si>
  <si>
    <t>شفت هدير الاتنين18-8</t>
  </si>
  <si>
    <t>بيتادين 2 جركن+كلور</t>
  </si>
  <si>
    <t>كهربا الدار</t>
  </si>
  <si>
    <t>د السعدني / م سعاد</t>
  </si>
  <si>
    <t>لمبة للاستقبال</t>
  </si>
  <si>
    <t>قطرتين د سعيد</t>
  </si>
  <si>
    <t>زيادةالشفت التاني</t>
  </si>
  <si>
    <t>طه التأمينات</t>
  </si>
  <si>
    <t>شاور/منظفات</t>
  </si>
  <si>
    <t>السعدني/العربيه</t>
  </si>
  <si>
    <t>مواصلات عصام أسبوعين 240/ بلاطي 275</t>
  </si>
  <si>
    <t>اشتراك برنامج العياده شهر 8</t>
  </si>
  <si>
    <t>الشفت التاني</t>
  </si>
  <si>
    <t>كتب د السعدني</t>
  </si>
  <si>
    <t>أبو يوسف</t>
  </si>
  <si>
    <t>عدستين الكون شهرية</t>
  </si>
  <si>
    <t>دالسعدني أبو يوسف</t>
  </si>
  <si>
    <t>البيان</t>
  </si>
  <si>
    <t>اويوسف</t>
  </si>
  <si>
    <t>د السعدني دفع تأمينات</t>
  </si>
  <si>
    <t>مروة</t>
  </si>
  <si>
    <t>ابويوسف/بنزين</t>
  </si>
  <si>
    <t>العربية</t>
  </si>
  <si>
    <t>نقدا</t>
  </si>
  <si>
    <t>دوا</t>
  </si>
  <si>
    <t>الدار</t>
  </si>
  <si>
    <t>فايلات لحسن</t>
  </si>
  <si>
    <t>الجمعيات</t>
  </si>
  <si>
    <t>م.الساحل+فيزا البنك التجاري</t>
  </si>
  <si>
    <t>النادي</t>
  </si>
  <si>
    <t>فيزا البنك الأهلي</t>
  </si>
  <si>
    <t>ابويوسف/بنزين+الدكتورة</t>
  </si>
  <si>
    <t>مشروع العلاج</t>
  </si>
  <si>
    <t>ميناتورز</t>
  </si>
  <si>
    <t>النضارة</t>
  </si>
  <si>
    <t>أبو يوسف بنزين</t>
  </si>
  <si>
    <t>هشام العلاج الحر</t>
  </si>
  <si>
    <t>بنزين+الدكتورة</t>
  </si>
  <si>
    <t>نضارة</t>
  </si>
  <si>
    <t>عبدالحميد</t>
  </si>
  <si>
    <t>الدكتورة</t>
  </si>
  <si>
    <t>العلاج</t>
  </si>
  <si>
    <t>تصليح الشنطة أبو يوسف</t>
  </si>
  <si>
    <t>بنزين</t>
  </si>
  <si>
    <t>شقة البحر</t>
  </si>
  <si>
    <t>أبو يوسف دهان</t>
  </si>
  <si>
    <t>طرد الدكتورة</t>
  </si>
  <si>
    <t>اسكندرية البنات</t>
  </si>
  <si>
    <t>فيزا البنك التجاري</t>
  </si>
  <si>
    <t>الات</t>
  </si>
  <si>
    <t>أبو يوسف الدكتورة</t>
  </si>
  <si>
    <t>الدكتورة+هشام</t>
  </si>
  <si>
    <t>مياه الساحل</t>
  </si>
  <si>
    <t>العدسات</t>
  </si>
  <si>
    <t>بنزين+بسطرمة</t>
  </si>
  <si>
    <t>مشتريات للدكتورة</t>
  </si>
  <si>
    <t>عدسات الياسين</t>
  </si>
  <si>
    <t>م.فاطمة</t>
  </si>
  <si>
    <t>اوردر+العربية</t>
  </si>
  <si>
    <t>اوردر +دوا</t>
  </si>
  <si>
    <t>طرد+أبو يوسف</t>
  </si>
  <si>
    <t>عدسات امريكي</t>
  </si>
  <si>
    <t>تحاليل الدكتورة</t>
  </si>
  <si>
    <t>طرد</t>
  </si>
  <si>
    <t>باقي قطع غيار</t>
  </si>
  <si>
    <t>فرق عيادة طنطا</t>
  </si>
  <si>
    <t>تابروير</t>
  </si>
  <si>
    <t>قطع غيار الكارينز</t>
  </si>
  <si>
    <t>اوردر الدكتورة</t>
  </si>
  <si>
    <t>تغيير زيت</t>
  </si>
  <si>
    <t>غسيل العربية</t>
  </si>
  <si>
    <t>شيرين</t>
  </si>
  <si>
    <t>م.سعاد</t>
  </si>
  <si>
    <t>كتب+أبو يوسف</t>
  </si>
  <si>
    <t xml:space="preserve"> كفر الشيخ</t>
  </si>
  <si>
    <t>طنطا وكفرالشيخ</t>
  </si>
  <si>
    <t>فيزcibh</t>
  </si>
  <si>
    <t>مينا تورز</t>
  </si>
  <si>
    <t>الإجمالي</t>
  </si>
  <si>
    <t>المسحوبات</t>
  </si>
  <si>
    <t>فرق عدسات</t>
  </si>
  <si>
    <t>شيرين تم السداد</t>
  </si>
  <si>
    <t>انستا السعدني تم السداد</t>
  </si>
  <si>
    <t>سوبرماركت</t>
  </si>
  <si>
    <t>اشعة د نمير</t>
  </si>
  <si>
    <t>المشارط 2 بوكس</t>
  </si>
  <si>
    <t>الجمعية/دالسعدني</t>
  </si>
  <si>
    <t xml:space="preserve">د سعيد </t>
  </si>
  <si>
    <t>ضرايب كسب العمل/ المكتب</t>
  </si>
  <si>
    <t>اوردر مصطفى السعدني</t>
  </si>
  <si>
    <t>فيمتو</t>
  </si>
  <si>
    <t xml:space="preserve">تامينات ايمان طاهر </t>
  </si>
  <si>
    <t>ابويوسف /الدكتوره</t>
  </si>
  <si>
    <t>أبو يوسف / الدكتوره</t>
  </si>
  <si>
    <t>السعدني / اوردر</t>
  </si>
  <si>
    <t>فرق سعر مشرط الصواف</t>
  </si>
  <si>
    <t>مرتب م سعاد</t>
  </si>
  <si>
    <t>أبو يوسف/ بنزين</t>
  </si>
  <si>
    <t>السعدني اوردر</t>
  </si>
  <si>
    <t>ريهام تم السداد</t>
  </si>
  <si>
    <t>فيمتو/عصام</t>
  </si>
  <si>
    <t>اوردر الدكتوره</t>
  </si>
  <si>
    <t>شرشوبه الشروق</t>
  </si>
  <si>
    <t>ينسون</t>
  </si>
  <si>
    <t>السعدني / ازاز العربيه</t>
  </si>
  <si>
    <t>الدكتوره / قسط امان</t>
  </si>
  <si>
    <t>فيزا cib من العياده</t>
  </si>
  <si>
    <t>د السعدني تحويل 1335$*48.57 تسترد من البيت</t>
  </si>
  <si>
    <t>د سعيد نسبة 6 كشوفات 5*140+1*210</t>
  </si>
  <si>
    <t>أبو يوسف ترخيص العربيه</t>
  </si>
  <si>
    <t>عصام 275 بلاطي / 240 مواصلات</t>
  </si>
  <si>
    <t>بسيوني</t>
  </si>
  <si>
    <t>زيادة لحالة د /وليدعلام / مواصلات الصواف طه</t>
  </si>
  <si>
    <t>د السعدني / دكتور الاسنان</t>
  </si>
  <si>
    <t>ماوس اوتوريف</t>
  </si>
  <si>
    <t xml:space="preserve">باقي لحاله ورديه 1 يوم 7\9 </t>
  </si>
  <si>
    <t>أبو يوسف فيزا العربية</t>
  </si>
  <si>
    <t xml:space="preserve"> ورق 15*132</t>
  </si>
  <si>
    <t>عدد 2 رول تعقيم*1400+350 بكر حمام+380 سحب+90قفل ورزة+50لزق+120مواصلات+100 فيمتو+4 شاش*1200</t>
  </si>
  <si>
    <t>أقلام</t>
  </si>
  <si>
    <t>تقفيل نوري شهر8</t>
  </si>
  <si>
    <t>نوري شهر7</t>
  </si>
  <si>
    <t>عدد 5 باكت ورق *120</t>
  </si>
  <si>
    <t>ايمان طاهر لبكره / تم السداد</t>
  </si>
  <si>
    <t>هدير ليوم 10/تم يوم10</t>
  </si>
  <si>
    <t>بطارية</t>
  </si>
  <si>
    <t>إضافي صافي</t>
  </si>
  <si>
    <t>إضافي هدير</t>
  </si>
  <si>
    <t>إضافي داليا</t>
  </si>
  <si>
    <t xml:space="preserve">مكافأة د السعدني </t>
  </si>
  <si>
    <t>شفت هدير10-9/عدم وجود فني يوم الأربعاء</t>
  </si>
  <si>
    <t xml:space="preserve">أبو يوسف / بنزين </t>
  </si>
  <si>
    <t>عدد100 جاون*22+2 جونتيات *1050+محاليل 20*18</t>
  </si>
  <si>
    <t>عجز</t>
  </si>
  <si>
    <t>حساب نضارة الدكتوره و السعدني</t>
  </si>
  <si>
    <t>مستلزمات فاتورة تاريخ 10-9</t>
  </si>
  <si>
    <t>سباكة حمام المرضى بطرس</t>
  </si>
  <si>
    <t>حفلة د حازم</t>
  </si>
  <si>
    <t>ريهام</t>
  </si>
  <si>
    <t>سلك+معالق</t>
  </si>
  <si>
    <t>مرتجع قطرات حبيبة أبو العز</t>
  </si>
  <si>
    <t>شفت صافي فني الاتنين15-9</t>
  </si>
  <si>
    <t>رسوم التأمينات+عمولة سداد</t>
  </si>
  <si>
    <t>زيادة من الشروق/انستا</t>
  </si>
  <si>
    <t>بلاطي 275/عصام160 مواصلات</t>
  </si>
  <si>
    <t>بنزين-أبو يوسف</t>
  </si>
  <si>
    <t>م طه الصواف</t>
  </si>
  <si>
    <t>اتصالات كاش</t>
  </si>
  <si>
    <t>كاش</t>
  </si>
  <si>
    <t>رصيد قديم</t>
  </si>
  <si>
    <t>وائل أبو حسين</t>
  </si>
  <si>
    <t>السعدني البيت 22\9</t>
  </si>
  <si>
    <t>اجمالي المصروف</t>
  </si>
  <si>
    <t>تغيير درام اسود للطابعة</t>
  </si>
  <si>
    <t>كحول 12 ازازه</t>
  </si>
  <si>
    <t>جمعيه د. محمد عبدالرحيم</t>
  </si>
  <si>
    <t>المتبقي</t>
  </si>
  <si>
    <t xml:space="preserve">د السعدني / ارامكس </t>
  </si>
  <si>
    <t>مشارط موريا 5 علب 2500$</t>
  </si>
  <si>
    <t>د السعدني أبو يوسف</t>
  </si>
  <si>
    <t>تحويل انستا الدكتوره</t>
  </si>
  <si>
    <t>باقي المشارط</t>
  </si>
  <si>
    <t>ماسكات</t>
  </si>
  <si>
    <t>بيع ورق المركز-كهربائي للمخزن</t>
  </si>
  <si>
    <t>فرق قطرات (منودوكسين-اوركا ) لحالة</t>
  </si>
  <si>
    <t>تحت حساب العيادة شهر9</t>
  </si>
  <si>
    <t>عصام بداية من 1-8/2024--10/1 (500)</t>
  </si>
  <si>
    <t>عم سعيد</t>
  </si>
  <si>
    <t>مرتج كشف من انستا باي مصطفى السعدني</t>
  </si>
  <si>
    <t>مرتجع لحالة</t>
  </si>
  <si>
    <t>رضا-تم السداد1-10</t>
  </si>
  <si>
    <t>انستا السعدني / البيت</t>
  </si>
  <si>
    <t>تروسيكل</t>
  </si>
  <si>
    <t>شاي+راجون</t>
  </si>
  <si>
    <t>جميعة الرضوان / محمد سلطان</t>
  </si>
  <si>
    <t>نوري شهر 9</t>
  </si>
  <si>
    <t>بسكوت د السعدني</t>
  </si>
  <si>
    <t>كشوفات د سعيد</t>
  </si>
  <si>
    <t>بالطوهات+ابن سينا مواصلات عصام 240</t>
  </si>
  <si>
    <t>اجمالي الايراد</t>
  </si>
  <si>
    <t>عملية سطحي انستا</t>
  </si>
  <si>
    <t>ملاحظات</t>
  </si>
  <si>
    <t>مشارط موريا 2500$*49.5</t>
  </si>
  <si>
    <t>من المركز</t>
  </si>
  <si>
    <t>مشارط ميتال 10 علب*10</t>
  </si>
  <si>
    <t>تصفية عدادات الكهربا مخزن صدقي</t>
  </si>
  <si>
    <t>امان-قسط الدكتورة</t>
  </si>
  <si>
    <t>رش للنمل</t>
  </si>
  <si>
    <t>نيديل هولدر جيفت 2*650 لد سعدني</t>
  </si>
  <si>
    <t>عمولة مخزن صدقي</t>
  </si>
  <si>
    <t>صنايعية الشروق نقل النعقيم والتبكيت</t>
  </si>
  <si>
    <t>ايجاربطرس</t>
  </si>
  <si>
    <t>شفت هديرالاتني6-10</t>
  </si>
  <si>
    <t>لمبة يونيت لد السعدني السفر</t>
  </si>
  <si>
    <t>محمود شلش صيانة كرسي اليونت</t>
  </si>
  <si>
    <t>اوردر هشام</t>
  </si>
  <si>
    <t>فيزا cib من العياده- سداد من حساب العدسات5-10(10000)+(20000)كفر الشيخ ايراد شهر9</t>
  </si>
  <si>
    <t>كروكس ابيض عمليات 5*85+مناديل سحب39+مناديل بكر350+2 كرتونة مياه*350+80مواصلات</t>
  </si>
  <si>
    <t>ليد د السعدني-سداد من عيادة كفر الشيخ9-10</t>
  </si>
  <si>
    <t>الشناوي-سداد9-10</t>
  </si>
  <si>
    <t>هدير-سداد9-10</t>
  </si>
  <si>
    <t>زياده</t>
  </si>
  <si>
    <t>ساره -سداد يوم11-10</t>
  </si>
  <si>
    <t>كاميرا الشروق</t>
  </si>
  <si>
    <t>م/رضا/سداد200-10-9</t>
  </si>
  <si>
    <t>داليا تم السداد</t>
  </si>
  <si>
    <t>ام محمود تم سداد 4000 يوم 27\7-سداد500 يوم10-9-2500 يوم14-10</t>
  </si>
  <si>
    <t>ام محمود-14-10</t>
  </si>
  <si>
    <t>غسالة الشروق</t>
  </si>
  <si>
    <t>كانيولا</t>
  </si>
  <si>
    <t>اشتراك البرنامج شهرين</t>
  </si>
  <si>
    <t>كابل باور 2 الشروق</t>
  </si>
  <si>
    <t>هشام السعدني</t>
  </si>
  <si>
    <t>ايمان ياسر</t>
  </si>
  <si>
    <t>شاي و سكر</t>
  </si>
  <si>
    <t>إضافي  شهر 9</t>
  </si>
  <si>
    <t>فرق د عمر</t>
  </si>
  <si>
    <t>فرق شفت د عمر</t>
  </si>
  <si>
    <t>عمولة دفع 20000 تأمينات</t>
  </si>
  <si>
    <t>هدير من الصندوق</t>
  </si>
  <si>
    <t>فيزا البنك الأهلي تسترد من العياده-تم السدادمن عيادة كفر الشيخ</t>
  </si>
  <si>
    <t>باور بنك</t>
  </si>
  <si>
    <t>د سعيد</t>
  </si>
  <si>
    <t>150مواصلات للجاونات والكروكس والباور سبلاي + جاون100*22+2 جلفز*1050+2 جلفز*975</t>
  </si>
  <si>
    <t>الشناوي يستردو السبت-تم</t>
  </si>
  <si>
    <t>مواصلات مينا تورز</t>
  </si>
  <si>
    <t>شاي+سلك</t>
  </si>
  <si>
    <t>صندوق القرض</t>
  </si>
  <si>
    <t>صيانة يونتات كفر الشيخ+يونت الشروق</t>
  </si>
  <si>
    <t>الشناوي يستردو السبت</t>
  </si>
  <si>
    <t>السعدني/تم سداد20000 يوم27-10</t>
  </si>
  <si>
    <t>الغرفة</t>
  </si>
  <si>
    <t>السعدني/كهربا</t>
  </si>
  <si>
    <t>محمد رمضان الدكتوره + مواصلات</t>
  </si>
  <si>
    <t>مواصلات طه لصواف</t>
  </si>
  <si>
    <t>ايمان ياسر يستردو غدا</t>
  </si>
  <si>
    <t>صيانة لمبات عمليات الشروق/باقي اليومية التانية الدرج مقفول</t>
  </si>
  <si>
    <t>جاد</t>
  </si>
  <si>
    <t>عصام تحت حساب جوانتيات الشروق</t>
  </si>
  <si>
    <t>انستا باي (حساب العملية-شهرية جاد تم تحويلها شهر 10)</t>
  </si>
  <si>
    <t>شهرية جاد تم دفعها من انستا باي مصطفى السعدني</t>
  </si>
  <si>
    <t>لمبات كهرباء</t>
  </si>
  <si>
    <t>تحت حساب العيادة شهر10</t>
  </si>
  <si>
    <t>م.رضا-سداد125يوم1-11</t>
  </si>
  <si>
    <t>كفر الشيخ dvr+مواصلات</t>
  </si>
  <si>
    <t>البنات / القران</t>
  </si>
  <si>
    <t>شيكرتون</t>
  </si>
  <si>
    <t>أبو يوسف / د السعدني</t>
  </si>
  <si>
    <t>نسبة د سعيد شهر10( 6 كشوفات +متابعة)</t>
  </si>
  <si>
    <t>الشروق</t>
  </si>
  <si>
    <t>قسط امان / الدكتوره</t>
  </si>
  <si>
    <t>مرتجع حاله</t>
  </si>
  <si>
    <t>رصيد قديم انستا</t>
  </si>
  <si>
    <t>الشروق داليا</t>
  </si>
  <si>
    <t>انستا (1500+550)</t>
  </si>
  <si>
    <t>عدد11 قطرة سيكلو بلجيكا*30</t>
  </si>
  <si>
    <t>مناديل</t>
  </si>
  <si>
    <t>عصام مناديل سخب و بكر</t>
  </si>
  <si>
    <t>اورانج260+فودافون700</t>
  </si>
  <si>
    <t>حساب فايلات الاشعه</t>
  </si>
  <si>
    <t>هاند واش الشروق</t>
  </si>
  <si>
    <t>جاد اسطوانة غاز+الشهرية+1000 مع السعدني</t>
  </si>
  <si>
    <t>البنات / القران-سداد من كفر الشيخ شهر10</t>
  </si>
  <si>
    <t>د السعدني / بيت السريع-سداد من كفر الشيخ شهر10</t>
  </si>
  <si>
    <t>شقة اسكندريه-سدادمن كفر الشيخ شهر 10</t>
  </si>
  <si>
    <t>البنات / ماث-سداد من كفر الشيخ شهر 10</t>
  </si>
  <si>
    <t>نسبة شهر 10</t>
  </si>
  <si>
    <t>الدكتوره / تابروير-سداد من كفر الشيخ شهر 10</t>
  </si>
  <si>
    <t>صافي ليوم 10-تم السداد من النسبة</t>
  </si>
  <si>
    <t>أبو يوسف/الدكتوره</t>
  </si>
  <si>
    <t>د السعدني  من حساب مينا تورز</t>
  </si>
  <si>
    <t>أبو يوسف / د السعدني دره</t>
  </si>
  <si>
    <t>شهادة مخالفات د السعدني</t>
  </si>
  <si>
    <t>ايو يوسف لبن د السعدني</t>
  </si>
  <si>
    <t>مواصلات فايلات اشعة</t>
  </si>
  <si>
    <t xml:space="preserve">أبو يوسف / الدكتوره </t>
  </si>
  <si>
    <t>سليكون للحوض+دليفري</t>
  </si>
  <si>
    <t>تحت حساب مشتريات سباكة</t>
  </si>
  <si>
    <t>د السعدني اسكندريه/السعدني روضه/البنات</t>
  </si>
  <si>
    <t>حساب عدسات حالة كفرالشيخ تسترد من د سعيد غدا</t>
  </si>
  <si>
    <t>عجز ورديه الخميس بليل</t>
  </si>
  <si>
    <t>اكرامية عماد توصيل العدسات</t>
  </si>
  <si>
    <t>ابو يوسف حجارة</t>
  </si>
  <si>
    <t>عصام-سلفة الإجمالي 2000 باقي السلفة مكتوب 1-6-25</t>
  </si>
  <si>
    <t>سلفة السعدني تسدد شهريا</t>
  </si>
  <si>
    <t>الشناوي-تم سداد17-11</t>
  </si>
  <si>
    <t>تامينات</t>
  </si>
  <si>
    <t>أبو يوسف نقدا+فيزا د السعدني</t>
  </si>
  <si>
    <t>عصام جونات</t>
  </si>
  <si>
    <t>تصوير ورق د كريم</t>
  </si>
  <si>
    <t>د سغيد تحت حساب النسبه</t>
  </si>
  <si>
    <t>حساب ورق 2 باكت 80 جرام + مواصلات</t>
  </si>
  <si>
    <t>كهربا330+باقي م.التامينات+العمولة</t>
  </si>
  <si>
    <t>عدسات شهريه 2</t>
  </si>
  <si>
    <t>السعدني السجاده</t>
  </si>
  <si>
    <t>عصير د السعدني</t>
  </si>
  <si>
    <t>تحويل هشام</t>
  </si>
  <si>
    <t>أبو يوسف بسطرمه</t>
  </si>
  <si>
    <t>حساب 1000 كارت نضاره</t>
  </si>
  <si>
    <t>شقت هدير</t>
  </si>
  <si>
    <t>سلك</t>
  </si>
  <si>
    <t>السعدني ليوم ١٠</t>
  </si>
  <si>
    <t>فيزا البنك الاهلي تسدد من العياده</t>
  </si>
  <si>
    <t>صيانه سخان الشروق</t>
  </si>
  <si>
    <t>علبة دبابيس</t>
  </si>
  <si>
    <t>قطرات اوجو 18.75*100</t>
  </si>
  <si>
    <t>صابون</t>
  </si>
  <si>
    <t>رسالة د محمد</t>
  </si>
  <si>
    <t>عصام ابن سينا</t>
  </si>
  <si>
    <t xml:space="preserve">نورا </t>
  </si>
  <si>
    <t>لمبة جهاز كفرالشيخ+2طورش</t>
  </si>
  <si>
    <t>م رضا تسدد من الجمعيه + 3000 شهريا</t>
  </si>
  <si>
    <t>تقفيل جولد أي حتى شهر 8</t>
  </si>
  <si>
    <t>تقفيل نوري شهر 10</t>
  </si>
  <si>
    <t>من جساب اوفو حتى شهر 10</t>
  </si>
  <si>
    <t>زيادة لحالة-10 عجز الشفت التاني</t>
  </si>
  <si>
    <t>تحت حساب العيادة شهر11</t>
  </si>
  <si>
    <t>باقي نسب د سعيد</t>
  </si>
  <si>
    <t>السعدني/الدكتورة</t>
  </si>
  <si>
    <t>زيادة لحالة</t>
  </si>
  <si>
    <t>تقفيل شهر 11 نوري</t>
  </si>
  <si>
    <t>اورانج+فودافون+د السعدني</t>
  </si>
  <si>
    <t>عصام اوكره للشروق</t>
  </si>
  <si>
    <t>ابو يوسف بسطرمه</t>
  </si>
  <si>
    <t>د السعدني ل د محمد عبدالرحيم</t>
  </si>
  <si>
    <t>دمحمد عبدالرحيم</t>
  </si>
  <si>
    <t>كفر الشيخ- تم السداد من عيادة كفر الشيخ</t>
  </si>
  <si>
    <t>نسبة</t>
  </si>
  <si>
    <t>صافي-سداد10-12</t>
  </si>
  <si>
    <t>صافي-سداد 100 يوم10-12</t>
  </si>
  <si>
    <t>هدير ليوم 10-سداد9-10+سداد200 يوم10-12</t>
  </si>
  <si>
    <t>طه-سداد10-12</t>
  </si>
  <si>
    <t>من الخزنه السعدني</t>
  </si>
  <si>
    <t>ام محمود-تم السداد250 يوم14-12</t>
  </si>
  <si>
    <t>ام محمود-سداد11-11 من النسبة1000-450 يوم14-12</t>
  </si>
  <si>
    <t>ام محمود-سداد300 يوم14-12</t>
  </si>
  <si>
    <t>مكافأة محمود عدد 40 يوم*150 من يوم22-9 حتى 30-11</t>
  </si>
  <si>
    <t>شفت صافي فني</t>
  </si>
  <si>
    <t>جهاز محلول</t>
  </si>
  <si>
    <t>قهوة ضيف د الصواف</t>
  </si>
  <si>
    <t>فلونس +شهرية جاد</t>
  </si>
  <si>
    <t>تصليح الحمام</t>
  </si>
  <si>
    <t>شفت هدير الشروق</t>
  </si>
  <si>
    <t>السعدني يوم السبت</t>
  </si>
  <si>
    <t>ابو يوسف/شنط د السعدني</t>
  </si>
  <si>
    <t>صيانة كوالين الباب والشباك بطرس</t>
  </si>
  <si>
    <t xml:space="preserve">ام محمود </t>
  </si>
  <si>
    <t>نسبة د سعيد حتى اليوم</t>
  </si>
  <si>
    <t>رضا-سداد من صنوق12</t>
  </si>
  <si>
    <t>قهوة السعدني</t>
  </si>
  <si>
    <t>مواصلات طه الكهرباء</t>
  </si>
  <si>
    <t>ابو يوسف جبنه</t>
  </si>
  <si>
    <t>فيزا البنك الاهلي تسترد من د السعدني</t>
  </si>
  <si>
    <t>باقي حساب المكتب ضرايب</t>
  </si>
  <si>
    <t>الاوتوريف ٢٥٠٠ج اللينس ميتر ٥٠٠ج</t>
  </si>
  <si>
    <t>تلصيح البروجيكتور-الشروق</t>
  </si>
  <si>
    <t>رسالة- محمد</t>
  </si>
  <si>
    <t>رسالة-نورا</t>
  </si>
  <si>
    <t>ابو يوسف / دره + بسطرمه</t>
  </si>
  <si>
    <t>ساره لأول الشهر يخصم من المرتب + 200 قديم سداد 200 يوم 29-12</t>
  </si>
  <si>
    <t>تصليح الدش</t>
  </si>
  <si>
    <t xml:space="preserve"> حساب جونتيات+شاش+مناديل+سرنجات 5و10</t>
  </si>
  <si>
    <t>هدير</t>
  </si>
  <si>
    <t>محاليل 2 كرتونة</t>
  </si>
  <si>
    <t>عصام حساب ماوس وكيبورد حسن فايد</t>
  </si>
  <si>
    <t>سكر 3 ك</t>
  </si>
  <si>
    <t>نسبة العيادة</t>
  </si>
  <si>
    <t>سلفة طه</t>
  </si>
  <si>
    <t>قهوه</t>
  </si>
  <si>
    <t>وارد من د السعدني/سداد ضريبة كسب العمل</t>
  </si>
  <si>
    <t>بالطوهات+مواصلات ابن سينا</t>
  </si>
  <si>
    <t>بنزين السعدني</t>
  </si>
  <si>
    <t>د السعدني/نضارات</t>
  </si>
  <si>
    <t>شاي+خل</t>
  </si>
  <si>
    <t>محمود شهر 12</t>
  </si>
  <si>
    <t>تقفيل اوفو</t>
  </si>
  <si>
    <t xml:space="preserve">أبو يوسف </t>
  </si>
  <si>
    <t xml:space="preserve"> حساب سن كانيولا 2*140+40مواصلات</t>
  </si>
  <si>
    <t>زيادة من الشروق -ريهام</t>
  </si>
  <si>
    <t>نضارات / البنات</t>
  </si>
  <si>
    <t xml:space="preserve">رصيد سابق </t>
  </si>
  <si>
    <t>عصام سلفة</t>
  </si>
  <si>
    <t>كابلات</t>
  </si>
  <si>
    <t>شحن السعدني</t>
  </si>
  <si>
    <t>ID</t>
  </si>
  <si>
    <t>اسطوانتين*450+نقل رايح جاي2900</t>
  </si>
  <si>
    <t>تطليع الأسطوانات اكرامية</t>
  </si>
  <si>
    <t>انستا باي</t>
  </si>
  <si>
    <t>أبو عمر/obd</t>
  </si>
  <si>
    <t>أبو عمر</t>
  </si>
  <si>
    <t>id</t>
  </si>
  <si>
    <t>أكياس للعمليات ومنظفات</t>
  </si>
  <si>
    <t>مواصلات ابن سينا+بالطوهات</t>
  </si>
  <si>
    <t>Column8</t>
  </si>
  <si>
    <t>Column9</t>
  </si>
  <si>
    <t>كهربا + المواصلات</t>
  </si>
  <si>
    <t>Column10</t>
  </si>
  <si>
    <t>جاون22*100+مواصلات</t>
  </si>
  <si>
    <t>كوبايات *350+فايلات شفافة4*130+80 مواصلات</t>
  </si>
  <si>
    <t>شفت الفني -ه</t>
  </si>
  <si>
    <t>مواصلات الملفات</t>
  </si>
  <si>
    <t>اوفتابانتين *13</t>
  </si>
  <si>
    <t xml:space="preserve">طه </t>
  </si>
  <si>
    <t>أبو يوسف/عجلة عمر</t>
  </si>
  <si>
    <t>نورا لأول الشهر</t>
  </si>
  <si>
    <t>حساب يوم إضافي ايمان طاهر</t>
  </si>
  <si>
    <t>قهوه أبو عمر</t>
  </si>
  <si>
    <t>لمبات مدخل</t>
  </si>
  <si>
    <t>فيزا البنك الأهلي د السعدني</t>
  </si>
  <si>
    <t>ابو عمر السبت-تم السداد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</si>
</sst>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name val="Arial"/>
      <charset val="178"/>
    </font>
    <font>
      <b/>
      <sz val="18"/>
      <color indexed="10"/>
      <name val="Arial"/>
      <family val="2"/>
    </font>
    <font>
      <b/>
      <sz val="18"/>
      <color indexed="12"/>
      <name val="Arial"/>
      <family val="2"/>
    </font>
    <font>
      <b/>
      <sz val="16"/>
      <color indexed="6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8"/>
      <color indexed="9"/>
      <name val="Arial"/>
      <family val="2"/>
    </font>
    <font>
      <b/>
      <sz val="10"/>
      <name val="Arial"/>
      <family val="2"/>
    </font>
    <font>
      <b/>
      <sz val="17"/>
      <name val="Arial"/>
      <family val="2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rgb="FF0000FF"/>
      <name val="Arial"/>
      <family val="2"/>
    </font>
    <font>
      <b/>
      <sz val="18"/>
      <color rgb="FFFF0000"/>
      <name val="Arial"/>
      <family val="2"/>
      <charset val="178"/>
    </font>
    <font>
      <b/>
      <sz val="18"/>
      <name val="Arial"/>
      <family val="2"/>
      <charset val="178"/>
    </font>
    <font>
      <b/>
      <sz val="18"/>
      <color theme="1"/>
      <name val="Arial"/>
      <family val="2"/>
      <scheme val="minor"/>
    </font>
    <font>
      <b/>
      <sz val="18"/>
      <color rgb="FF0000FF"/>
      <name val="Arial"/>
      <family val="2"/>
      <scheme val="minor"/>
    </font>
    <font>
      <sz val="8"/>
      <name val="Arial"/>
      <charset val="178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2" borderId="1" xfId="0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 readingOrder="2"/>
    </xf>
    <xf numFmtId="0" fontId="6" fillId="0" borderId="7" xfId="0" applyFont="1" applyBorder="1" applyAlignment="1">
      <alignment horizontal="center" readingOrder="2"/>
    </xf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6" fillId="3" borderId="10" xfId="0" applyFont="1" applyFill="1" applyBorder="1" applyAlignment="1">
      <alignment horizontal="center" readingOrder="2"/>
    </xf>
    <xf numFmtId="0" fontId="0" fillId="0" borderId="10" xfId="0" applyBorder="1"/>
    <xf numFmtId="0" fontId="6" fillId="0" borderId="10" xfId="0" applyFont="1" applyBorder="1" applyAlignment="1">
      <alignment horizontal="center" readingOrder="2"/>
    </xf>
    <xf numFmtId="0" fontId="6" fillId="5" borderId="11" xfId="0" applyFont="1" applyFill="1" applyBorder="1" applyAlignment="1">
      <alignment horizontal="center" readingOrder="2"/>
    </xf>
    <xf numFmtId="0" fontId="6" fillId="0" borderId="12" xfId="0" applyFont="1" applyBorder="1" applyAlignment="1">
      <alignment horizontal="center" readingOrder="2"/>
    </xf>
    <xf numFmtId="0" fontId="6" fillId="0" borderId="13" xfId="0" applyFont="1" applyBorder="1" applyAlignment="1">
      <alignment horizontal="center" readingOrder="2"/>
    </xf>
    <xf numFmtId="0" fontId="6" fillId="0" borderId="14" xfId="0" applyFont="1" applyBorder="1" applyAlignment="1">
      <alignment horizontal="center" readingOrder="2"/>
    </xf>
    <xf numFmtId="0" fontId="8" fillId="5" borderId="15" xfId="0" applyFont="1" applyFill="1" applyBorder="1" applyAlignment="1">
      <alignment horizontal="center" readingOrder="2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16" xfId="0" applyFont="1" applyBorder="1" applyAlignment="1">
      <alignment horizontal="center" readingOrder="2"/>
    </xf>
    <xf numFmtId="0" fontId="6" fillId="3" borderId="17" xfId="0" applyFont="1" applyFill="1" applyBorder="1" applyAlignment="1">
      <alignment horizontal="center" readingOrder="2"/>
    </xf>
    <xf numFmtId="0" fontId="6" fillId="3" borderId="18" xfId="0" applyFont="1" applyFill="1" applyBorder="1" applyAlignment="1">
      <alignment horizontal="center" readingOrder="2"/>
    </xf>
    <xf numFmtId="0" fontId="6" fillId="0" borderId="19" xfId="0" applyFont="1" applyBorder="1" applyAlignment="1">
      <alignment vertical="center" readingOrder="2"/>
    </xf>
    <xf numFmtId="0" fontId="0" fillId="0" borderId="20" xfId="0" applyBorder="1"/>
    <xf numFmtId="0" fontId="6" fillId="0" borderId="17" xfId="0" applyFont="1" applyBorder="1" applyAlignment="1">
      <alignment horizontal="center" readingOrder="2"/>
    </xf>
    <xf numFmtId="0" fontId="0" fillId="0" borderId="17" xfId="0" applyBorder="1"/>
    <xf numFmtId="0" fontId="6" fillId="0" borderId="20" xfId="0" applyFont="1" applyBorder="1" applyAlignment="1">
      <alignment vertical="center" readingOrder="2"/>
    </xf>
    <xf numFmtId="0" fontId="6" fillId="0" borderId="18" xfId="0" applyFont="1" applyBorder="1" applyAlignment="1">
      <alignment vertical="center" readingOrder="2"/>
    </xf>
    <xf numFmtId="0" fontId="6" fillId="0" borderId="15" xfId="0" applyFont="1" applyBorder="1" applyAlignment="1">
      <alignment horizontal="center" readingOrder="2"/>
    </xf>
    <xf numFmtId="0" fontId="6" fillId="0" borderId="21" xfId="0" applyFont="1" applyBorder="1" applyAlignment="1">
      <alignment horizontal="center" readingOrder="2"/>
    </xf>
    <xf numFmtId="0" fontId="6" fillId="5" borderId="15" xfId="0" applyFont="1" applyFill="1" applyBorder="1" applyAlignment="1">
      <alignment horizontal="center" readingOrder="2"/>
    </xf>
    <xf numFmtId="0" fontId="8" fillId="6" borderId="15" xfId="0" applyFont="1" applyFill="1" applyBorder="1" applyAlignment="1">
      <alignment horizontal="center" readingOrder="2"/>
    </xf>
    <xf numFmtId="0" fontId="8" fillId="5" borderId="22" xfId="0" applyFont="1" applyFill="1" applyBorder="1" applyAlignment="1">
      <alignment horizontal="center" readingOrder="2"/>
    </xf>
    <xf numFmtId="0" fontId="8" fillId="5" borderId="23" xfId="0" applyFont="1" applyFill="1" applyBorder="1" applyAlignment="1">
      <alignment horizontal="center" readingOrder="2"/>
    </xf>
    <xf numFmtId="0" fontId="6" fillId="3" borderId="19" xfId="0" applyFont="1" applyFill="1" applyBorder="1" applyAlignment="1">
      <alignment horizontal="center" vertical="center" readingOrder="2"/>
    </xf>
    <xf numFmtId="0" fontId="6" fillId="3" borderId="24" xfId="0" applyFont="1" applyFill="1" applyBorder="1" applyAlignment="1">
      <alignment horizontal="center" vertical="center" readingOrder="2"/>
    </xf>
    <xf numFmtId="0" fontId="6" fillId="3" borderId="13" xfId="0" applyFont="1" applyFill="1" applyBorder="1" applyAlignment="1">
      <alignment horizontal="center" vertical="center" readingOrder="2"/>
    </xf>
    <xf numFmtId="0" fontId="6" fillId="3" borderId="20" xfId="0" applyFont="1" applyFill="1" applyBorder="1" applyAlignment="1">
      <alignment horizontal="center" vertical="center" readingOrder="2"/>
    </xf>
    <xf numFmtId="0" fontId="6" fillId="4" borderId="15" xfId="0" applyFont="1" applyFill="1" applyBorder="1" applyAlignment="1">
      <alignment horizontal="center" readingOrder="2"/>
    </xf>
    <xf numFmtId="0" fontId="6" fillId="4" borderId="16" xfId="0" applyFont="1" applyFill="1" applyBorder="1" applyAlignment="1">
      <alignment horizontal="center" readingOrder="2"/>
    </xf>
    <xf numFmtId="0" fontId="6" fillId="5" borderId="17" xfId="0" applyFont="1" applyFill="1" applyBorder="1" applyAlignment="1">
      <alignment horizontal="center" readingOrder="2"/>
    </xf>
    <xf numFmtId="0" fontId="6" fillId="5" borderId="16" xfId="0" applyFont="1" applyFill="1" applyBorder="1" applyAlignment="1">
      <alignment horizontal="center" readingOrder="2"/>
    </xf>
    <xf numFmtId="0" fontId="6" fillId="0" borderId="1" xfId="0" applyFont="1" applyBorder="1" applyAlignment="1">
      <alignment horizontal="center" readingOrder="2"/>
    </xf>
    <xf numFmtId="0" fontId="3" fillId="0" borderId="2" xfId="0" applyFont="1" applyBorder="1"/>
    <xf numFmtId="0" fontId="2" fillId="0" borderId="25" xfId="0" applyFont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4" fillId="0" borderId="3" xfId="0" applyFont="1" applyBorder="1"/>
    <xf numFmtId="0" fontId="3" fillId="2" borderId="5" xfId="0" applyFont="1" applyFill="1" applyBorder="1"/>
    <xf numFmtId="0" fontId="4" fillId="2" borderId="4" xfId="0" applyFont="1" applyFill="1" applyBorder="1"/>
    <xf numFmtId="0" fontId="3" fillId="2" borderId="26" xfId="0" applyFont="1" applyFill="1" applyBorder="1"/>
    <xf numFmtId="0" fontId="2" fillId="0" borderId="27" xfId="0" applyFont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6" fillId="0" borderId="27" xfId="0" applyFont="1" applyBorder="1" applyAlignment="1">
      <alignment horizontal="center" readingOrder="2"/>
    </xf>
    <xf numFmtId="0" fontId="6" fillId="0" borderId="4" xfId="0" applyFont="1" applyBorder="1" applyAlignment="1">
      <alignment readingOrder="2"/>
    </xf>
    <xf numFmtId="0" fontId="6" fillId="0" borderId="28" xfId="0" applyFont="1" applyBorder="1" applyAlignment="1">
      <alignment readingOrder="2"/>
    </xf>
    <xf numFmtId="0" fontId="11" fillId="0" borderId="1" xfId="0" applyFont="1" applyBorder="1"/>
    <xf numFmtId="16" fontId="11" fillId="0" borderId="1" xfId="0" applyNumberFormat="1" applyFont="1" applyBorder="1"/>
    <xf numFmtId="16" fontId="11" fillId="5" borderId="1" xfId="0" applyNumberFormat="1" applyFont="1" applyFill="1" applyBorder="1"/>
    <xf numFmtId="0" fontId="11" fillId="5" borderId="1" xfId="0" applyFont="1" applyFill="1" applyBorder="1"/>
    <xf numFmtId="0" fontId="11" fillId="0" borderId="0" xfId="0" applyFont="1"/>
    <xf numFmtId="0" fontId="6" fillId="0" borderId="1" xfId="0" applyFont="1" applyBorder="1" applyAlignment="1">
      <alignment horizontal="right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15" fillId="0" borderId="1" xfId="0" applyFont="1" applyBorder="1" applyAlignment="1">
      <alignment horizontal="right"/>
    </xf>
    <xf numFmtId="0" fontId="0" fillId="0" borderId="1" xfId="0" applyBorder="1"/>
    <xf numFmtId="0" fontId="16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0" fillId="0" borderId="34" xfId="0" applyBorder="1"/>
    <xf numFmtId="0" fontId="6" fillId="0" borderId="34" xfId="0" applyFont="1" applyBorder="1" applyAlignment="1">
      <alignment horizontal="right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22" fontId="12" fillId="0" borderId="1" xfId="0" applyNumberFormat="1" applyFont="1" applyBorder="1" applyAlignment="1">
      <alignment horizontal="center"/>
    </xf>
    <xf numFmtId="22" fontId="14" fillId="0" borderId="1" xfId="0" applyNumberFormat="1" applyFont="1" applyBorder="1" applyAlignment="1">
      <alignment horizontal="center"/>
    </xf>
    <xf numFmtId="22" fontId="14" fillId="7" borderId="1" xfId="0" applyNumberFormat="1" applyFont="1" applyFill="1" applyBorder="1" applyAlignment="1">
      <alignment horizontal="center"/>
    </xf>
    <xf numFmtId="22" fontId="12" fillId="0" borderId="34" xfId="0" applyNumberFormat="1" applyFont="1" applyBorder="1" applyAlignment="1">
      <alignment horizontal="center"/>
    </xf>
    <xf numFmtId="0" fontId="13" fillId="7" borderId="34" xfId="0" applyFont="1" applyFill="1" applyBorder="1" applyAlignment="1">
      <alignment horizontal="center"/>
    </xf>
    <xf numFmtId="0" fontId="0" fillId="7" borderId="1" xfId="0" applyFill="1" applyBorder="1"/>
    <xf numFmtId="0" fontId="12" fillId="7" borderId="1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right"/>
    </xf>
    <xf numFmtId="0" fontId="9" fillId="0" borderId="29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8" fillId="6" borderId="33" xfId="0" applyFont="1" applyFill="1" applyBorder="1" applyAlignment="1">
      <alignment horizontal="center" readingOrder="2"/>
    </xf>
    <xf numFmtId="0" fontId="8" fillId="6" borderId="15" xfId="0" applyFont="1" applyFill="1" applyBorder="1" applyAlignment="1">
      <alignment horizontal="center" readingOrder="2"/>
    </xf>
    <xf numFmtId="0" fontId="6" fillId="4" borderId="33" xfId="0" applyFont="1" applyFill="1" applyBorder="1" applyAlignment="1">
      <alignment horizontal="center" readingOrder="2"/>
    </xf>
    <xf numFmtId="0" fontId="6" fillId="4" borderId="15" xfId="0" applyFont="1" applyFill="1" applyBorder="1" applyAlignment="1">
      <alignment horizontal="center" readingOrder="2"/>
    </xf>
    <xf numFmtId="0" fontId="6" fillId="4" borderId="33" xfId="0" applyFont="1" applyFill="1" applyBorder="1" applyAlignment="1">
      <alignment horizontal="center" vertical="center" readingOrder="2"/>
    </xf>
    <xf numFmtId="0" fontId="6" fillId="4" borderId="15" xfId="0" applyFont="1" applyFill="1" applyBorder="1" applyAlignment="1">
      <alignment horizontal="center" vertical="center" readingOrder="2"/>
    </xf>
    <xf numFmtId="0" fontId="10" fillId="0" borderId="33" xfId="0" applyFont="1" applyBorder="1" applyAlignment="1">
      <alignment horizontal="center" readingOrder="2"/>
    </xf>
    <xf numFmtId="0" fontId="10" fillId="0" borderId="15" xfId="0" applyFont="1" applyBorder="1" applyAlignment="1">
      <alignment horizontal="center" readingOrder="2"/>
    </xf>
    <xf numFmtId="0" fontId="6" fillId="0" borderId="33" xfId="0" applyFont="1" applyBorder="1" applyAlignment="1">
      <alignment horizontal="center" vertical="center" readingOrder="2"/>
    </xf>
    <xf numFmtId="0" fontId="6" fillId="0" borderId="15" xfId="0" applyFont="1" applyBorder="1" applyAlignment="1">
      <alignment horizontal="center" vertical="center" readingOrder="2"/>
    </xf>
    <xf numFmtId="0" fontId="12" fillId="8" borderId="1" xfId="0" applyFont="1" applyFill="1" applyBorder="1" applyAlignment="1">
      <alignment horizontal="center"/>
    </xf>
    <xf numFmtId="22" fontId="12" fillId="8" borderId="1" xfId="0" applyNumberFormat="1" applyFont="1" applyFill="1" applyBorder="1" applyAlignment="1">
      <alignment horizontal="center"/>
    </xf>
    <xf numFmtId="0" fontId="6" fillId="8" borderId="1" xfId="0" applyFont="1" applyFill="1" applyBorder="1" applyAlignment="1">
      <alignment horizontal="right"/>
    </xf>
    <xf numFmtId="0" fontId="13" fillId="9" borderId="1" xfId="0" applyFont="1" applyFill="1" applyBorder="1" applyAlignment="1">
      <alignment horizontal="center"/>
    </xf>
  </cellXfs>
  <cellStyles count="1">
    <cellStyle name="Normal" xfId="0" builtinId="0"/>
  </cellStyles>
  <dxfs count="18">
    <dxf>
      <fill>
        <patternFill patternType="solid">
          <fgColor indexed="64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E1D5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E1D5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E1D5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E1D5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8"/>
        <family val="2"/>
      </font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sz val="18"/>
        <color rgb="FFFF0000"/>
        <family val="2"/>
      </font>
      <numFmt numFmtId="27" formatCode="dd/mm/yyyy\ hh: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FF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</dxfs>
  <tableStyles count="0" defaultTableStyle="TableStyleMedium9" defaultPivotStyle="PivotStyleLight16"/>
  <colors>
    <mruColors>
      <color rgb="FF0000FF"/>
      <color rgb="FF00FF00"/>
      <color rgb="FF3366FF"/>
      <color rgb="FFFF99CC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ID" tableColumnId="1"/>
      <queryTableField id="2" name="الايراد" tableColumnId="2"/>
      <queryTableField id="3" name="المصروف" tableColumnId="3"/>
      <queryTableField id="4" name="التاريخ" tableColumnId="4"/>
      <queryTableField id="5" name="ملاحظات" tableColumnId="5"/>
      <queryTableField id="8" name="Column8" tableColumnId="6"/>
      <queryTableField id="9" name="Column9" tableColumnId="7"/>
      <queryTableField id="10" dataBound="0" tableColumnId="8"/>
    </queryTableFields>
    <queryTableDeletedFields count="2">
      <deletedField name="Column8"/>
      <deletedField name="Column9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25EEA3-D0A9-4138-9ACC-8DF72761B0E2}" name="All" displayName="All" ref="C1:J2823" tableType="queryTable" totalsRowShown="0">
  <autoFilter ref="C1:J2823" xr:uid="{2625EEA3-D0A9-4138-9ACC-8DF72761B0E2}"/>
  <tableColumns count="8">
    <tableColumn id="1" xr3:uid="{3956D9E2-D9AC-45F7-969F-84CC52A1EDAE}" uniqueName="1" name="ID" queryTableFieldId="1" dataDxfId="17"/>
    <tableColumn id="2" xr3:uid="{6E4B65CC-7877-4CCE-86FD-7A1EC3D14B7A}" uniqueName="2" name="الايراد" queryTableFieldId="2" dataDxfId="16"/>
    <tableColumn id="3" xr3:uid="{FD81FAF7-E79F-4BB0-855F-B7E49AFFA206}" uniqueName="3" name="المصروف" queryTableFieldId="3" dataDxfId="15"/>
    <tableColumn id="4" xr3:uid="{178E2DDE-935D-4A66-A8A7-BE7B7BCA40D9}" uniqueName="4" name="التاريخ" queryTableFieldId="4" dataDxfId="14"/>
    <tableColumn id="5" xr3:uid="{1AD1C50C-DAD2-4860-AD97-F69B4811DE2C}" uniqueName="5" name="ملاحظات" queryTableFieldId="5" dataDxfId="13"/>
    <tableColumn id="6" xr3:uid="{10087DDA-89C1-4F8E-AAF5-07DF1C87EBB6}" uniqueName="6" name="Column8" queryTableFieldId="8"/>
    <tableColumn id="7" xr3:uid="{578E1B0A-8EC5-42F8-AFF0-B9549E9857AD}" uniqueName="7" name="Column9" queryTableFieldId="9"/>
    <tableColumn id="8" xr3:uid="{848FA5E4-F0A0-4A74-803D-4ADAE6DDA08C}" uniqueName="8" name="Column10" queryTableField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3E15A-69DE-410D-B296-DDB1B7ACA11A}">
  <sheetPr codeName="Sheet5"/>
  <dimension ref="A1:M2833"/>
  <sheetViews>
    <sheetView rightToLeft="1" tabSelected="1" topLeftCell="A2817" zoomScale="70" zoomScaleNormal="70" workbookViewId="0">
      <selection activeCell="G2833" sqref="G2833"/>
    </sheetView>
  </sheetViews>
  <sheetFormatPr defaultRowHeight="23.25" x14ac:dyDescent="0.35"/>
  <cols>
    <col min="1" max="1" width="16.7109375" style="71" bestFit="1" customWidth="1"/>
    <col min="2" max="2" width="16.7109375" style="72" bestFit="1" customWidth="1"/>
    <col min="3" max="3" width="8" style="70" hidden="1" customWidth="1"/>
    <col min="4" max="4" width="16.7109375" style="65" bestFit="1" customWidth="1"/>
    <col min="5" max="5" width="19.7109375" style="66" bestFit="1" customWidth="1"/>
    <col min="6" max="6" width="28.85546875" style="85" bestFit="1" customWidth="1"/>
    <col min="7" max="7" width="81.140625" style="64" bestFit="1" customWidth="1"/>
    <col min="8" max="9" width="12.140625" style="84" bestFit="1" customWidth="1"/>
  </cols>
  <sheetData>
    <row r="1" spans="1:10" x14ac:dyDescent="0.35">
      <c r="A1" s="71" t="s">
        <v>1226</v>
      </c>
      <c r="B1" s="72" t="s">
        <v>7</v>
      </c>
      <c r="C1" s="70" t="s">
        <v>1532</v>
      </c>
      <c r="D1" s="65" t="s">
        <v>8</v>
      </c>
      <c r="E1" s="66" t="s">
        <v>9</v>
      </c>
      <c r="F1" s="85" t="s">
        <v>10</v>
      </c>
      <c r="G1" s="64" t="s">
        <v>1329</v>
      </c>
      <c r="H1" t="s">
        <v>1541</v>
      </c>
      <c r="I1" t="s">
        <v>1542</v>
      </c>
      <c r="J1" t="s">
        <v>1544</v>
      </c>
    </row>
    <row r="2" spans="1:10" x14ac:dyDescent="0.35">
      <c r="A2" s="71">
        <v>169420.6</v>
      </c>
      <c r="C2" s="70">
        <v>1</v>
      </c>
      <c r="D2" s="65">
        <v>169420.6</v>
      </c>
      <c r="F2" s="85">
        <v>45291</v>
      </c>
      <c r="G2" s="64" t="s">
        <v>1528</v>
      </c>
      <c r="H2"/>
      <c r="I2"/>
    </row>
    <row r="3" spans="1:10" x14ac:dyDescent="0.35">
      <c r="A3" s="71">
        <f>SUM(A2+B3)</f>
        <v>111303.6</v>
      </c>
      <c r="B3" s="72">
        <f t="shared" ref="B3:B66" si="0">SUM(D3-E3)</f>
        <v>-58117</v>
      </c>
      <c r="C3" s="70">
        <v>2</v>
      </c>
      <c r="E3" s="66">
        <v>58117</v>
      </c>
      <c r="F3" s="85">
        <v>45292</v>
      </c>
      <c r="G3" s="64" t="s">
        <v>21</v>
      </c>
      <c r="H3"/>
      <c r="I3"/>
    </row>
    <row r="4" spans="1:10" x14ac:dyDescent="0.35">
      <c r="A4" s="71">
        <f t="shared" ref="A4:A67" si="1">SUM(A3+B4)</f>
        <v>94303.6</v>
      </c>
      <c r="B4" s="72">
        <f t="shared" si="0"/>
        <v>-17000</v>
      </c>
      <c r="C4" s="70">
        <v>3</v>
      </c>
      <c r="E4" s="66">
        <v>17000</v>
      </c>
      <c r="F4" s="85">
        <v>45292</v>
      </c>
      <c r="G4" s="64" t="s">
        <v>22</v>
      </c>
      <c r="H4"/>
      <c r="I4"/>
    </row>
    <row r="5" spans="1:10" x14ac:dyDescent="0.35">
      <c r="A5" s="71">
        <f t="shared" si="1"/>
        <v>93403.6</v>
      </c>
      <c r="B5" s="72">
        <f t="shared" si="0"/>
        <v>-900</v>
      </c>
      <c r="C5" s="70">
        <v>4</v>
      </c>
      <c r="E5" s="66">
        <v>900</v>
      </c>
      <c r="F5" s="85">
        <v>45292</v>
      </c>
      <c r="G5" s="64" t="s">
        <v>23</v>
      </c>
      <c r="H5"/>
      <c r="I5"/>
    </row>
    <row r="6" spans="1:10" x14ac:dyDescent="0.35">
      <c r="A6" s="71">
        <f t="shared" si="1"/>
        <v>94233.600000000006</v>
      </c>
      <c r="B6" s="72">
        <f t="shared" si="0"/>
        <v>830</v>
      </c>
      <c r="C6" s="70">
        <v>5</v>
      </c>
      <c r="D6" s="65">
        <v>830</v>
      </c>
      <c r="F6" s="85">
        <v>45292</v>
      </c>
      <c r="G6" s="64" t="s">
        <v>12</v>
      </c>
      <c r="H6"/>
      <c r="I6"/>
    </row>
    <row r="7" spans="1:10" x14ac:dyDescent="0.35">
      <c r="A7" s="71">
        <f t="shared" si="1"/>
        <v>93233.600000000006</v>
      </c>
      <c r="B7" s="72">
        <f t="shared" si="0"/>
        <v>-1000</v>
      </c>
      <c r="C7" s="70">
        <v>6</v>
      </c>
      <c r="E7" s="66">
        <v>1000</v>
      </c>
      <c r="F7" s="85">
        <v>45292</v>
      </c>
      <c r="G7" s="64" t="s">
        <v>24</v>
      </c>
      <c r="H7"/>
      <c r="I7"/>
    </row>
    <row r="8" spans="1:10" x14ac:dyDescent="0.35">
      <c r="A8" s="71">
        <f t="shared" si="1"/>
        <v>93113.600000000006</v>
      </c>
      <c r="B8" s="72">
        <f t="shared" si="0"/>
        <v>-120</v>
      </c>
      <c r="C8" s="70">
        <v>7</v>
      </c>
      <c r="E8" s="66">
        <v>120</v>
      </c>
      <c r="F8" s="85">
        <v>45292</v>
      </c>
      <c r="G8" s="64" t="s">
        <v>25</v>
      </c>
      <c r="H8"/>
      <c r="I8"/>
    </row>
    <row r="9" spans="1:10" x14ac:dyDescent="0.35">
      <c r="A9" s="71">
        <f t="shared" si="1"/>
        <v>92843.6</v>
      </c>
      <c r="B9" s="72">
        <f t="shared" si="0"/>
        <v>-270</v>
      </c>
      <c r="C9" s="70">
        <v>8</v>
      </c>
      <c r="E9" s="66">
        <v>270</v>
      </c>
      <c r="F9" s="85">
        <v>45292</v>
      </c>
      <c r="G9" s="64" t="s">
        <v>26</v>
      </c>
      <c r="H9"/>
      <c r="I9"/>
    </row>
    <row r="10" spans="1:10" x14ac:dyDescent="0.35">
      <c r="A10" s="71">
        <f t="shared" si="1"/>
        <v>109078.6</v>
      </c>
      <c r="B10" s="72">
        <f t="shared" si="0"/>
        <v>16235</v>
      </c>
      <c r="C10" s="70">
        <v>9</v>
      </c>
      <c r="D10" s="65">
        <v>16235</v>
      </c>
      <c r="F10" s="85">
        <v>45293</v>
      </c>
      <c r="G10" s="64" t="s">
        <v>12</v>
      </c>
      <c r="H10"/>
      <c r="I10"/>
    </row>
    <row r="11" spans="1:10" x14ac:dyDescent="0.35">
      <c r="A11" s="71">
        <f t="shared" si="1"/>
        <v>84878.6</v>
      </c>
      <c r="B11" s="72">
        <f t="shared" si="0"/>
        <v>-24200</v>
      </c>
      <c r="C11" s="70">
        <v>10</v>
      </c>
      <c r="E11" s="66">
        <v>24200</v>
      </c>
      <c r="F11" s="85">
        <v>45293</v>
      </c>
      <c r="G11" s="64" t="s">
        <v>15</v>
      </c>
      <c r="H11"/>
      <c r="I11"/>
    </row>
    <row r="12" spans="1:10" x14ac:dyDescent="0.35">
      <c r="A12" s="71">
        <f t="shared" si="1"/>
        <v>84378.6</v>
      </c>
      <c r="B12" s="72">
        <f t="shared" si="0"/>
        <v>-500</v>
      </c>
      <c r="C12" s="70">
        <v>11</v>
      </c>
      <c r="E12" s="66">
        <v>500</v>
      </c>
      <c r="F12" s="85">
        <v>45294</v>
      </c>
      <c r="G12" s="64" t="s">
        <v>27</v>
      </c>
      <c r="H12"/>
      <c r="I12"/>
    </row>
    <row r="13" spans="1:10" x14ac:dyDescent="0.35">
      <c r="A13" s="71">
        <f t="shared" si="1"/>
        <v>84058.6</v>
      </c>
      <c r="B13" s="72">
        <f t="shared" si="0"/>
        <v>-320</v>
      </c>
      <c r="C13" s="70">
        <v>12</v>
      </c>
      <c r="E13" s="66">
        <v>320</v>
      </c>
      <c r="F13" s="85">
        <v>45293</v>
      </c>
      <c r="G13" s="64" t="s">
        <v>28</v>
      </c>
      <c r="H13"/>
      <c r="I13"/>
    </row>
    <row r="14" spans="1:10" x14ac:dyDescent="0.35">
      <c r="A14" s="71">
        <f t="shared" si="1"/>
        <v>83538.600000000006</v>
      </c>
      <c r="B14" s="72">
        <f t="shared" si="0"/>
        <v>-520</v>
      </c>
      <c r="C14" s="70">
        <v>13</v>
      </c>
      <c r="E14" s="66">
        <v>520</v>
      </c>
      <c r="F14" s="85">
        <v>45294</v>
      </c>
      <c r="G14" s="64" t="s">
        <v>29</v>
      </c>
      <c r="H14"/>
      <c r="I14"/>
    </row>
    <row r="15" spans="1:10" x14ac:dyDescent="0.35">
      <c r="A15" s="71">
        <f t="shared" si="1"/>
        <v>83478.600000000006</v>
      </c>
      <c r="B15" s="72">
        <f t="shared" si="0"/>
        <v>-60</v>
      </c>
      <c r="C15" s="70">
        <v>14</v>
      </c>
      <c r="E15" s="66">
        <v>60</v>
      </c>
      <c r="F15" s="85">
        <v>45293</v>
      </c>
      <c r="G15" s="64" t="s">
        <v>30</v>
      </c>
      <c r="H15"/>
      <c r="I15"/>
    </row>
    <row r="16" spans="1:10" x14ac:dyDescent="0.35">
      <c r="A16" s="71">
        <f t="shared" si="1"/>
        <v>83418.600000000006</v>
      </c>
      <c r="B16" s="72">
        <f t="shared" si="0"/>
        <v>-60</v>
      </c>
      <c r="C16" s="70">
        <v>15</v>
      </c>
      <c r="E16" s="66">
        <v>60</v>
      </c>
      <c r="F16" s="85">
        <v>45293</v>
      </c>
      <c r="G16" s="64" t="s">
        <v>31</v>
      </c>
      <c r="H16"/>
      <c r="I16"/>
    </row>
    <row r="17" spans="1:9" x14ac:dyDescent="0.35">
      <c r="A17" s="71">
        <f t="shared" si="1"/>
        <v>88748.6</v>
      </c>
      <c r="B17" s="72">
        <f t="shared" si="0"/>
        <v>5330</v>
      </c>
      <c r="C17" s="70">
        <v>16</v>
      </c>
      <c r="D17" s="65">
        <v>5330</v>
      </c>
      <c r="F17" s="85">
        <v>45294</v>
      </c>
      <c r="G17" s="64" t="s">
        <v>12</v>
      </c>
      <c r="H17"/>
      <c r="I17"/>
    </row>
    <row r="18" spans="1:9" x14ac:dyDescent="0.35">
      <c r="A18" s="71">
        <f t="shared" si="1"/>
        <v>88738.6</v>
      </c>
      <c r="B18" s="72">
        <f t="shared" si="0"/>
        <v>-10</v>
      </c>
      <c r="C18" s="70">
        <v>17</v>
      </c>
      <c r="E18" s="66">
        <v>10</v>
      </c>
      <c r="F18" s="85">
        <v>45294</v>
      </c>
      <c r="G18" s="64" t="s">
        <v>32</v>
      </c>
      <c r="H18"/>
      <c r="I18"/>
    </row>
    <row r="19" spans="1:9" x14ac:dyDescent="0.35">
      <c r="A19" s="71">
        <f t="shared" si="1"/>
        <v>71238.600000000006</v>
      </c>
      <c r="B19" s="72">
        <f t="shared" si="0"/>
        <v>-17500</v>
      </c>
      <c r="C19" s="70">
        <v>18</v>
      </c>
      <c r="E19" s="66">
        <v>17500</v>
      </c>
      <c r="F19" s="85">
        <v>45295</v>
      </c>
      <c r="G19" s="64" t="s">
        <v>17</v>
      </c>
      <c r="H19"/>
      <c r="I19"/>
    </row>
    <row r="20" spans="1:9" x14ac:dyDescent="0.35">
      <c r="A20" s="71">
        <f t="shared" si="1"/>
        <v>70913.600000000006</v>
      </c>
      <c r="B20" s="72">
        <f t="shared" si="0"/>
        <v>-325</v>
      </c>
      <c r="C20" s="70">
        <v>19</v>
      </c>
      <c r="E20" s="66">
        <v>325</v>
      </c>
      <c r="F20" s="85">
        <v>45295</v>
      </c>
      <c r="G20" s="64" t="s">
        <v>14</v>
      </c>
      <c r="H20"/>
      <c r="I20"/>
    </row>
    <row r="21" spans="1:9" x14ac:dyDescent="0.35">
      <c r="A21" s="71">
        <f t="shared" si="1"/>
        <v>70743.600000000006</v>
      </c>
      <c r="B21" s="72">
        <f t="shared" si="0"/>
        <v>-170</v>
      </c>
      <c r="C21" s="70">
        <v>20</v>
      </c>
      <c r="E21" s="66">
        <v>170</v>
      </c>
      <c r="F21" s="85">
        <v>45295</v>
      </c>
      <c r="G21" s="64" t="s">
        <v>1</v>
      </c>
      <c r="H21"/>
      <c r="I21"/>
    </row>
    <row r="22" spans="1:9" x14ac:dyDescent="0.35">
      <c r="A22" s="71">
        <f t="shared" si="1"/>
        <v>63743.600000000006</v>
      </c>
      <c r="B22" s="72">
        <f t="shared" si="0"/>
        <v>-7000</v>
      </c>
      <c r="C22" s="70">
        <v>21</v>
      </c>
      <c r="E22" s="66">
        <v>7000</v>
      </c>
      <c r="F22" s="85">
        <v>45295</v>
      </c>
      <c r="G22" s="64" t="s">
        <v>33</v>
      </c>
      <c r="H22"/>
      <c r="I22"/>
    </row>
    <row r="23" spans="1:9" x14ac:dyDescent="0.35">
      <c r="A23" s="71">
        <f t="shared" si="1"/>
        <v>64239.600000000006</v>
      </c>
      <c r="B23" s="72">
        <f t="shared" si="0"/>
        <v>496</v>
      </c>
      <c r="C23" s="70">
        <v>22</v>
      </c>
      <c r="D23" s="65">
        <v>550</v>
      </c>
      <c r="E23" s="66">
        <v>54</v>
      </c>
      <c r="F23" s="85">
        <v>45295</v>
      </c>
      <c r="G23" s="64" t="s">
        <v>34</v>
      </c>
      <c r="H23"/>
      <c r="I23"/>
    </row>
    <row r="24" spans="1:9" x14ac:dyDescent="0.35">
      <c r="A24" s="71">
        <f t="shared" si="1"/>
        <v>62154.600000000006</v>
      </c>
      <c r="B24" s="72">
        <f t="shared" si="0"/>
        <v>-2085</v>
      </c>
      <c r="C24" s="70">
        <v>23</v>
      </c>
      <c r="E24" s="66">
        <v>2085</v>
      </c>
      <c r="F24" s="85">
        <v>45297</v>
      </c>
      <c r="G24" s="64" t="s">
        <v>35</v>
      </c>
      <c r="H24"/>
      <c r="I24"/>
    </row>
    <row r="25" spans="1:9" x14ac:dyDescent="0.35">
      <c r="A25" s="71">
        <f t="shared" si="1"/>
        <v>68109.600000000006</v>
      </c>
      <c r="B25" s="72">
        <f t="shared" si="0"/>
        <v>5955</v>
      </c>
      <c r="C25" s="70">
        <v>24</v>
      </c>
      <c r="D25" s="65">
        <v>5955</v>
      </c>
      <c r="F25" s="85">
        <v>45297</v>
      </c>
      <c r="G25" s="64" t="s">
        <v>12</v>
      </c>
      <c r="H25"/>
      <c r="I25"/>
    </row>
    <row r="26" spans="1:9" x14ac:dyDescent="0.35">
      <c r="A26" s="71">
        <f t="shared" si="1"/>
        <v>68059.600000000006</v>
      </c>
      <c r="B26" s="72">
        <f t="shared" si="0"/>
        <v>-50</v>
      </c>
      <c r="C26" s="70">
        <v>25</v>
      </c>
      <c r="E26" s="66">
        <v>50</v>
      </c>
      <c r="F26" s="85">
        <v>45297</v>
      </c>
      <c r="G26" s="64" t="s">
        <v>36</v>
      </c>
      <c r="H26"/>
      <c r="I26"/>
    </row>
    <row r="27" spans="1:9" x14ac:dyDescent="0.35">
      <c r="A27" s="71">
        <f t="shared" si="1"/>
        <v>88826.6</v>
      </c>
      <c r="B27" s="72">
        <f t="shared" si="0"/>
        <v>20767</v>
      </c>
      <c r="C27" s="70">
        <v>26</v>
      </c>
      <c r="D27" s="65">
        <v>20855</v>
      </c>
      <c r="E27" s="66">
        <v>88</v>
      </c>
      <c r="F27" s="85">
        <v>45298</v>
      </c>
      <c r="G27" s="64" t="s">
        <v>37</v>
      </c>
      <c r="H27"/>
      <c r="I27"/>
    </row>
    <row r="28" spans="1:9" x14ac:dyDescent="0.35">
      <c r="A28" s="71">
        <f t="shared" si="1"/>
        <v>88731.6</v>
      </c>
      <c r="B28" s="72">
        <f t="shared" si="0"/>
        <v>-95</v>
      </c>
      <c r="C28" s="70">
        <v>27</v>
      </c>
      <c r="E28" s="66">
        <v>95</v>
      </c>
      <c r="F28" s="85">
        <v>45298</v>
      </c>
      <c r="G28" s="64" t="s">
        <v>38</v>
      </c>
      <c r="H28"/>
      <c r="I28"/>
    </row>
    <row r="29" spans="1:9" x14ac:dyDescent="0.35">
      <c r="A29" s="71">
        <f t="shared" si="1"/>
        <v>88671.6</v>
      </c>
      <c r="B29" s="72">
        <f t="shared" si="0"/>
        <v>-60</v>
      </c>
      <c r="C29" s="70">
        <v>28</v>
      </c>
      <c r="E29" s="66">
        <v>60</v>
      </c>
      <c r="F29" s="85">
        <v>45298</v>
      </c>
      <c r="G29" s="64" t="s">
        <v>39</v>
      </c>
      <c r="H29"/>
      <c r="I29"/>
    </row>
    <row r="30" spans="1:9" x14ac:dyDescent="0.35">
      <c r="A30" s="71">
        <f t="shared" si="1"/>
        <v>88651.6</v>
      </c>
      <c r="B30" s="72">
        <f t="shared" si="0"/>
        <v>-20</v>
      </c>
      <c r="C30" s="70">
        <v>29</v>
      </c>
      <c r="E30" s="66">
        <v>20</v>
      </c>
      <c r="F30" s="85">
        <v>45298</v>
      </c>
      <c r="G30" s="64" t="s">
        <v>40</v>
      </c>
      <c r="H30"/>
      <c r="I30"/>
    </row>
    <row r="31" spans="1:9" x14ac:dyDescent="0.35">
      <c r="A31" s="71">
        <f t="shared" si="1"/>
        <v>89721.600000000006</v>
      </c>
      <c r="B31" s="72">
        <f t="shared" si="0"/>
        <v>1070</v>
      </c>
      <c r="C31" s="70">
        <v>30</v>
      </c>
      <c r="D31" s="65">
        <v>1070</v>
      </c>
      <c r="F31" s="85">
        <v>45299</v>
      </c>
      <c r="G31" s="64" t="s">
        <v>12</v>
      </c>
      <c r="H31"/>
      <c r="I31"/>
    </row>
    <row r="32" spans="1:9" x14ac:dyDescent="0.35">
      <c r="A32" s="71">
        <f t="shared" si="1"/>
        <v>89681.600000000006</v>
      </c>
      <c r="B32" s="72">
        <f t="shared" si="0"/>
        <v>-40</v>
      </c>
      <c r="C32" s="70">
        <v>31</v>
      </c>
      <c r="E32" s="66">
        <v>40</v>
      </c>
      <c r="F32" s="85">
        <v>45299</v>
      </c>
      <c r="G32" s="64" t="s">
        <v>41</v>
      </c>
      <c r="H32"/>
      <c r="I32"/>
    </row>
    <row r="33" spans="1:9" x14ac:dyDescent="0.35">
      <c r="A33" s="71">
        <f t="shared" si="1"/>
        <v>89591.6</v>
      </c>
      <c r="B33" s="72">
        <f t="shared" si="0"/>
        <v>-90</v>
      </c>
      <c r="C33" s="70">
        <v>32</v>
      </c>
      <c r="E33" s="66">
        <v>90</v>
      </c>
      <c r="F33" s="85">
        <v>45299</v>
      </c>
      <c r="G33" s="64" t="s">
        <v>0</v>
      </c>
      <c r="H33"/>
      <c r="I33"/>
    </row>
    <row r="34" spans="1:9" x14ac:dyDescent="0.35">
      <c r="A34" s="71">
        <f t="shared" si="1"/>
        <v>86406.6</v>
      </c>
      <c r="B34" s="72">
        <f t="shared" si="0"/>
        <v>-3185</v>
      </c>
      <c r="C34" s="70">
        <v>33</v>
      </c>
      <c r="E34" s="66">
        <v>3185</v>
      </c>
      <c r="F34" s="85">
        <v>45300</v>
      </c>
      <c r="G34" s="64" t="s">
        <v>42</v>
      </c>
      <c r="H34"/>
      <c r="I34"/>
    </row>
    <row r="35" spans="1:9" x14ac:dyDescent="0.35">
      <c r="A35" s="71">
        <f t="shared" si="1"/>
        <v>97256.6</v>
      </c>
      <c r="B35" s="72">
        <f t="shared" si="0"/>
        <v>10850</v>
      </c>
      <c r="C35" s="70">
        <v>34</v>
      </c>
      <c r="D35" s="65">
        <v>10850</v>
      </c>
      <c r="F35" s="85">
        <v>45300</v>
      </c>
      <c r="G35" s="64" t="s">
        <v>12</v>
      </c>
      <c r="H35"/>
      <c r="I35"/>
    </row>
    <row r="36" spans="1:9" x14ac:dyDescent="0.35">
      <c r="A36" s="71">
        <f t="shared" si="1"/>
        <v>97156.6</v>
      </c>
      <c r="B36" s="72">
        <f t="shared" si="0"/>
        <v>-100</v>
      </c>
      <c r="C36" s="70">
        <v>35</v>
      </c>
      <c r="E36" s="66">
        <v>100</v>
      </c>
      <c r="F36" s="85">
        <v>45300</v>
      </c>
      <c r="G36" s="64" t="s">
        <v>43</v>
      </c>
      <c r="H36"/>
      <c r="I36"/>
    </row>
    <row r="37" spans="1:9" x14ac:dyDescent="0.35">
      <c r="A37" s="71">
        <f t="shared" si="1"/>
        <v>97036.6</v>
      </c>
      <c r="B37" s="72">
        <f t="shared" si="0"/>
        <v>-120</v>
      </c>
      <c r="C37" s="70">
        <v>36</v>
      </c>
      <c r="E37" s="66">
        <v>120</v>
      </c>
      <c r="F37" s="85">
        <v>45300</v>
      </c>
      <c r="G37" s="64" t="s">
        <v>44</v>
      </c>
      <c r="H37"/>
      <c r="I37"/>
    </row>
    <row r="38" spans="1:9" x14ac:dyDescent="0.35">
      <c r="A38" s="71">
        <f t="shared" si="1"/>
        <v>68401.600000000006</v>
      </c>
      <c r="B38" s="72">
        <f t="shared" si="0"/>
        <v>-28635</v>
      </c>
      <c r="C38" s="70">
        <v>37</v>
      </c>
      <c r="E38" s="66">
        <v>28635</v>
      </c>
      <c r="F38" s="85">
        <v>45300</v>
      </c>
      <c r="G38" s="64" t="s">
        <v>45</v>
      </c>
      <c r="H38"/>
      <c r="I38"/>
    </row>
    <row r="39" spans="1:9" x14ac:dyDescent="0.35">
      <c r="A39" s="71">
        <f t="shared" si="1"/>
        <v>75076.600000000006</v>
      </c>
      <c r="B39" s="72">
        <f t="shared" si="0"/>
        <v>6675</v>
      </c>
      <c r="C39" s="70">
        <v>38</v>
      </c>
      <c r="D39" s="65">
        <v>6675</v>
      </c>
      <c r="F39" s="85">
        <v>45301</v>
      </c>
      <c r="G39" s="64" t="s">
        <v>12</v>
      </c>
      <c r="H39"/>
      <c r="I39"/>
    </row>
    <row r="40" spans="1:9" x14ac:dyDescent="0.35">
      <c r="A40" s="71">
        <f t="shared" si="1"/>
        <v>73726.600000000006</v>
      </c>
      <c r="B40" s="72">
        <f t="shared" si="0"/>
        <v>-1350</v>
      </c>
      <c r="C40" s="70">
        <v>39</v>
      </c>
      <c r="E40" s="66">
        <v>1350</v>
      </c>
      <c r="F40" s="85">
        <v>45301</v>
      </c>
      <c r="G40" s="64" t="s">
        <v>46</v>
      </c>
      <c r="H40"/>
      <c r="I40"/>
    </row>
    <row r="41" spans="1:9" x14ac:dyDescent="0.35">
      <c r="A41" s="71">
        <f t="shared" si="1"/>
        <v>58476.600000000006</v>
      </c>
      <c r="B41" s="72">
        <f t="shared" si="0"/>
        <v>-15250</v>
      </c>
      <c r="C41" s="70">
        <v>40</v>
      </c>
      <c r="E41" s="66">
        <v>15250</v>
      </c>
      <c r="F41" s="85">
        <v>45301</v>
      </c>
      <c r="G41" s="64" t="s">
        <v>13</v>
      </c>
      <c r="H41"/>
      <c r="I41"/>
    </row>
    <row r="42" spans="1:9" x14ac:dyDescent="0.35">
      <c r="A42" s="71">
        <f t="shared" si="1"/>
        <v>58416.600000000006</v>
      </c>
      <c r="B42" s="72">
        <f t="shared" si="0"/>
        <v>-60</v>
      </c>
      <c r="C42" s="70">
        <v>41</v>
      </c>
      <c r="E42" s="66">
        <v>60</v>
      </c>
      <c r="F42" s="85">
        <v>45301</v>
      </c>
      <c r="G42" s="64" t="s">
        <v>36</v>
      </c>
      <c r="H42"/>
      <c r="I42"/>
    </row>
    <row r="43" spans="1:9" x14ac:dyDescent="0.35">
      <c r="A43" s="71">
        <f t="shared" si="1"/>
        <v>58316.600000000006</v>
      </c>
      <c r="B43" s="72">
        <f t="shared" si="0"/>
        <v>-100</v>
      </c>
      <c r="C43" s="70">
        <v>42</v>
      </c>
      <c r="E43" s="66">
        <v>100</v>
      </c>
      <c r="F43" s="85">
        <v>45301</v>
      </c>
      <c r="G43" s="64" t="s">
        <v>47</v>
      </c>
      <c r="H43"/>
      <c r="I43"/>
    </row>
    <row r="44" spans="1:9" x14ac:dyDescent="0.35">
      <c r="A44" s="71">
        <f t="shared" si="1"/>
        <v>57615.600000000006</v>
      </c>
      <c r="B44" s="72">
        <f t="shared" si="0"/>
        <v>-701</v>
      </c>
      <c r="C44" s="70">
        <v>43</v>
      </c>
      <c r="E44" s="66">
        <v>701</v>
      </c>
      <c r="F44" s="85">
        <v>45301</v>
      </c>
      <c r="G44" s="64" t="s">
        <v>48</v>
      </c>
      <c r="H44"/>
      <c r="I44"/>
    </row>
    <row r="45" spans="1:9" x14ac:dyDescent="0.35">
      <c r="A45" s="71">
        <f t="shared" si="1"/>
        <v>57585.600000000006</v>
      </c>
      <c r="B45" s="72">
        <f t="shared" si="0"/>
        <v>-30</v>
      </c>
      <c r="C45" s="70">
        <v>44</v>
      </c>
      <c r="E45" s="66">
        <v>30</v>
      </c>
      <c r="F45" s="85">
        <v>45301</v>
      </c>
      <c r="G45" s="64" t="s">
        <v>49</v>
      </c>
      <c r="H45"/>
      <c r="I45"/>
    </row>
    <row r="46" spans="1:9" x14ac:dyDescent="0.35">
      <c r="A46" s="71">
        <f t="shared" si="1"/>
        <v>57420.600000000006</v>
      </c>
      <c r="B46" s="72">
        <f t="shared" si="0"/>
        <v>-165</v>
      </c>
      <c r="C46" s="70">
        <v>45</v>
      </c>
      <c r="E46" s="66">
        <v>165</v>
      </c>
      <c r="F46" s="85">
        <v>45301</v>
      </c>
      <c r="G46" s="64" t="s">
        <v>50</v>
      </c>
      <c r="H46"/>
      <c r="I46"/>
    </row>
    <row r="47" spans="1:9" x14ac:dyDescent="0.35">
      <c r="A47" s="71">
        <f t="shared" si="1"/>
        <v>58715.600000000006</v>
      </c>
      <c r="B47" s="72">
        <f t="shared" si="0"/>
        <v>1295</v>
      </c>
      <c r="C47" s="70">
        <v>46</v>
      </c>
      <c r="D47" s="65">
        <v>1295</v>
      </c>
      <c r="F47" s="85">
        <v>45302</v>
      </c>
      <c r="G47" s="64" t="s">
        <v>12</v>
      </c>
      <c r="H47"/>
      <c r="I47"/>
    </row>
    <row r="48" spans="1:9" x14ac:dyDescent="0.35">
      <c r="A48" s="71">
        <f t="shared" si="1"/>
        <v>58455.600000000006</v>
      </c>
      <c r="B48" s="72">
        <f t="shared" si="0"/>
        <v>-260</v>
      </c>
      <c r="C48" s="70">
        <v>47</v>
      </c>
      <c r="E48" s="66">
        <v>260</v>
      </c>
      <c r="F48" s="85">
        <v>45304</v>
      </c>
      <c r="G48" s="64" t="s">
        <v>51</v>
      </c>
      <c r="H48"/>
      <c r="I48"/>
    </row>
    <row r="49" spans="1:9" x14ac:dyDescent="0.35">
      <c r="A49" s="71">
        <f t="shared" si="1"/>
        <v>68775.600000000006</v>
      </c>
      <c r="B49" s="72">
        <f t="shared" si="0"/>
        <v>10320</v>
      </c>
      <c r="C49" s="70">
        <v>48</v>
      </c>
      <c r="D49" s="65">
        <v>10320</v>
      </c>
      <c r="F49" s="85">
        <v>45304</v>
      </c>
      <c r="G49" s="64" t="s">
        <v>12</v>
      </c>
      <c r="H49"/>
      <c r="I49"/>
    </row>
    <row r="50" spans="1:9" x14ac:dyDescent="0.35">
      <c r="A50" s="71">
        <f t="shared" si="1"/>
        <v>68655.600000000006</v>
      </c>
      <c r="B50" s="72">
        <f t="shared" si="0"/>
        <v>-120</v>
      </c>
      <c r="C50" s="70">
        <v>49</v>
      </c>
      <c r="E50" s="66">
        <v>120</v>
      </c>
      <c r="F50" s="85">
        <v>45304</v>
      </c>
      <c r="G50" s="64" t="s">
        <v>52</v>
      </c>
      <c r="H50"/>
      <c r="I50"/>
    </row>
    <row r="51" spans="1:9" x14ac:dyDescent="0.35">
      <c r="A51" s="71">
        <f t="shared" si="1"/>
        <v>68630.600000000006</v>
      </c>
      <c r="B51" s="72">
        <f t="shared" si="0"/>
        <v>-25</v>
      </c>
      <c r="C51" s="70">
        <v>50</v>
      </c>
      <c r="E51" s="66">
        <v>25</v>
      </c>
      <c r="F51" s="85">
        <v>45304</v>
      </c>
      <c r="G51" s="64" t="s">
        <v>53</v>
      </c>
      <c r="H51"/>
      <c r="I51"/>
    </row>
    <row r="52" spans="1:9" x14ac:dyDescent="0.35">
      <c r="A52" s="71">
        <f t="shared" si="1"/>
        <v>68430.600000000006</v>
      </c>
      <c r="B52" s="72">
        <f t="shared" si="0"/>
        <v>-200</v>
      </c>
      <c r="C52" s="70">
        <v>51</v>
      </c>
      <c r="E52" s="66">
        <v>200</v>
      </c>
      <c r="F52" s="85">
        <v>45305</v>
      </c>
      <c r="G52" s="64" t="s">
        <v>6</v>
      </c>
      <c r="H52"/>
      <c r="I52"/>
    </row>
    <row r="53" spans="1:9" x14ac:dyDescent="0.35">
      <c r="A53" s="71">
        <f t="shared" si="1"/>
        <v>95875.6</v>
      </c>
      <c r="B53" s="72">
        <f t="shared" si="0"/>
        <v>27445</v>
      </c>
      <c r="C53" s="70">
        <v>52</v>
      </c>
      <c r="D53" s="65">
        <v>27465</v>
      </c>
      <c r="E53" s="66">
        <v>20</v>
      </c>
      <c r="F53" s="85">
        <v>45305</v>
      </c>
      <c r="G53" s="64" t="s">
        <v>54</v>
      </c>
      <c r="H53"/>
      <c r="I53"/>
    </row>
    <row r="54" spans="1:9" x14ac:dyDescent="0.35">
      <c r="A54" s="71">
        <f t="shared" si="1"/>
        <v>94825.600000000006</v>
      </c>
      <c r="B54" s="72">
        <f t="shared" si="0"/>
        <v>-1050</v>
      </c>
      <c r="C54" s="70">
        <v>53</v>
      </c>
      <c r="E54" s="66">
        <v>1050</v>
      </c>
      <c r="F54" s="85">
        <v>45305</v>
      </c>
      <c r="G54" s="64" t="s">
        <v>55</v>
      </c>
      <c r="H54"/>
      <c r="I54"/>
    </row>
    <row r="55" spans="1:9" x14ac:dyDescent="0.35">
      <c r="A55" s="71">
        <f t="shared" si="1"/>
        <v>94765.6</v>
      </c>
      <c r="B55" s="72">
        <f t="shared" si="0"/>
        <v>-60</v>
      </c>
      <c r="C55" s="70">
        <v>54</v>
      </c>
      <c r="E55" s="66">
        <v>60</v>
      </c>
      <c r="F55" s="85">
        <v>45305</v>
      </c>
      <c r="G55" s="64" t="s">
        <v>56</v>
      </c>
      <c r="H55"/>
      <c r="I55"/>
    </row>
    <row r="56" spans="1:9" x14ac:dyDescent="0.35">
      <c r="A56" s="71">
        <f t="shared" si="1"/>
        <v>94765.6</v>
      </c>
      <c r="B56" s="72">
        <f t="shared" si="0"/>
        <v>0</v>
      </c>
      <c r="C56" s="70">
        <v>55</v>
      </c>
      <c r="D56" s="65">
        <v>600</v>
      </c>
      <c r="E56" s="66">
        <v>600</v>
      </c>
      <c r="F56" s="85">
        <v>45305</v>
      </c>
      <c r="G56" s="64" t="s">
        <v>649</v>
      </c>
      <c r="H56"/>
      <c r="I56"/>
    </row>
    <row r="57" spans="1:9" x14ac:dyDescent="0.35">
      <c r="A57" s="71">
        <f t="shared" si="1"/>
        <v>91065.600000000006</v>
      </c>
      <c r="B57" s="72">
        <f t="shared" si="0"/>
        <v>-3700</v>
      </c>
      <c r="C57" s="70">
        <v>56</v>
      </c>
      <c r="E57" s="66">
        <v>3700</v>
      </c>
      <c r="F57" s="85">
        <v>45306</v>
      </c>
      <c r="G57" s="64" t="s">
        <v>57</v>
      </c>
      <c r="H57"/>
      <c r="I57"/>
    </row>
    <row r="58" spans="1:9" x14ac:dyDescent="0.35">
      <c r="A58" s="71">
        <f t="shared" si="1"/>
        <v>93535.6</v>
      </c>
      <c r="B58" s="72">
        <f t="shared" si="0"/>
        <v>2470</v>
      </c>
      <c r="C58" s="70">
        <v>57</v>
      </c>
      <c r="D58" s="65">
        <v>2470</v>
      </c>
      <c r="F58" s="85">
        <v>45306</v>
      </c>
      <c r="G58" s="64" t="s">
        <v>12</v>
      </c>
      <c r="H58"/>
      <c r="I58"/>
    </row>
    <row r="59" spans="1:9" x14ac:dyDescent="0.35">
      <c r="A59" s="71">
        <f t="shared" si="1"/>
        <v>93355.6</v>
      </c>
      <c r="B59" s="72">
        <f t="shared" si="0"/>
        <v>-180</v>
      </c>
      <c r="C59" s="70">
        <v>58</v>
      </c>
      <c r="E59" s="66">
        <v>180</v>
      </c>
      <c r="F59" s="85">
        <v>45306</v>
      </c>
      <c r="G59" s="64" t="s">
        <v>58</v>
      </c>
      <c r="H59"/>
      <c r="I59"/>
    </row>
    <row r="60" spans="1:9" x14ac:dyDescent="0.35">
      <c r="A60" s="71">
        <f t="shared" si="1"/>
        <v>120215.6</v>
      </c>
      <c r="B60" s="72">
        <f t="shared" si="0"/>
        <v>26860</v>
      </c>
      <c r="C60" s="70">
        <v>59</v>
      </c>
      <c r="D60" s="65">
        <v>26860</v>
      </c>
      <c r="F60" s="85">
        <v>45307</v>
      </c>
      <c r="G60" s="64" t="s">
        <v>12</v>
      </c>
      <c r="H60"/>
      <c r="I60"/>
    </row>
    <row r="61" spans="1:9" x14ac:dyDescent="0.35">
      <c r="A61" s="71">
        <f t="shared" si="1"/>
        <v>118965.6</v>
      </c>
      <c r="B61" s="72">
        <f t="shared" si="0"/>
        <v>-1250</v>
      </c>
      <c r="C61" s="70">
        <v>60</v>
      </c>
      <c r="E61" s="66">
        <v>1250</v>
      </c>
      <c r="F61" s="85">
        <v>45308</v>
      </c>
      <c r="G61" s="64" t="s">
        <v>59</v>
      </c>
      <c r="H61"/>
      <c r="I61"/>
    </row>
    <row r="62" spans="1:9" x14ac:dyDescent="0.35">
      <c r="A62" s="71">
        <f t="shared" si="1"/>
        <v>118865.60000000001</v>
      </c>
      <c r="B62" s="72">
        <f t="shared" si="0"/>
        <v>-100</v>
      </c>
      <c r="C62" s="70">
        <v>61</v>
      </c>
      <c r="E62" s="66">
        <v>100</v>
      </c>
      <c r="F62" s="85">
        <v>45308</v>
      </c>
      <c r="G62" s="64" t="s">
        <v>60</v>
      </c>
      <c r="H62"/>
      <c r="I62"/>
    </row>
    <row r="63" spans="1:9" x14ac:dyDescent="0.35">
      <c r="A63" s="71">
        <f t="shared" si="1"/>
        <v>118765.6</v>
      </c>
      <c r="B63" s="72">
        <f t="shared" si="0"/>
        <v>-100</v>
      </c>
      <c r="C63" s="70">
        <v>62</v>
      </c>
      <c r="E63" s="66">
        <v>100</v>
      </c>
      <c r="F63" s="85">
        <v>45308</v>
      </c>
      <c r="G63" s="64" t="s">
        <v>61</v>
      </c>
      <c r="H63"/>
      <c r="I63"/>
    </row>
    <row r="64" spans="1:9" x14ac:dyDescent="0.35">
      <c r="A64" s="71">
        <f t="shared" si="1"/>
        <v>127005.6</v>
      </c>
      <c r="B64" s="72">
        <f t="shared" si="0"/>
        <v>8240</v>
      </c>
      <c r="C64" s="70">
        <v>63</v>
      </c>
      <c r="D64" s="65">
        <v>8240</v>
      </c>
      <c r="F64" s="85">
        <v>45308</v>
      </c>
      <c r="G64" s="64" t="s">
        <v>12</v>
      </c>
      <c r="H64"/>
      <c r="I64"/>
    </row>
    <row r="65" spans="1:9" x14ac:dyDescent="0.35">
      <c r="A65" s="71">
        <f t="shared" si="1"/>
        <v>127905.60000000001</v>
      </c>
      <c r="B65" s="72">
        <f t="shared" si="0"/>
        <v>900</v>
      </c>
      <c r="C65" s="70">
        <v>64</v>
      </c>
      <c r="D65" s="65">
        <v>900</v>
      </c>
      <c r="F65" s="85">
        <v>45309</v>
      </c>
      <c r="G65" s="64" t="s">
        <v>12</v>
      </c>
      <c r="H65"/>
      <c r="I65"/>
    </row>
    <row r="66" spans="1:9" x14ac:dyDescent="0.35">
      <c r="A66" s="71">
        <f t="shared" si="1"/>
        <v>130630.6</v>
      </c>
      <c r="B66" s="72">
        <f t="shared" si="0"/>
        <v>2725</v>
      </c>
      <c r="C66" s="70">
        <v>65</v>
      </c>
      <c r="D66" s="65">
        <v>2785</v>
      </c>
      <c r="E66" s="66">
        <v>60</v>
      </c>
      <c r="F66" s="85">
        <v>45311</v>
      </c>
      <c r="G66" s="64" t="s">
        <v>62</v>
      </c>
      <c r="H66"/>
      <c r="I66"/>
    </row>
    <row r="67" spans="1:9" x14ac:dyDescent="0.35">
      <c r="A67" s="71">
        <f t="shared" si="1"/>
        <v>130330.6</v>
      </c>
      <c r="B67" s="72">
        <f t="shared" ref="B67:B130" si="2">SUM(D67-E67)</f>
        <v>-300</v>
      </c>
      <c r="C67" s="70">
        <v>66</v>
      </c>
      <c r="E67" s="66">
        <v>300</v>
      </c>
      <c r="F67" s="85">
        <v>45311</v>
      </c>
      <c r="G67" s="64" t="s">
        <v>63</v>
      </c>
      <c r="H67"/>
      <c r="I67"/>
    </row>
    <row r="68" spans="1:9" x14ac:dyDescent="0.35">
      <c r="A68" s="71">
        <f t="shared" ref="A68:A131" si="3">SUM(A67+B68)</f>
        <v>129830.6</v>
      </c>
      <c r="B68" s="72">
        <f t="shared" si="2"/>
        <v>-500</v>
      </c>
      <c r="C68" s="70">
        <v>67</v>
      </c>
      <c r="E68" s="66">
        <v>500</v>
      </c>
      <c r="F68" s="85">
        <v>45311</v>
      </c>
      <c r="G68" s="64" t="s">
        <v>64</v>
      </c>
      <c r="H68"/>
      <c r="I68"/>
    </row>
    <row r="69" spans="1:9" x14ac:dyDescent="0.35">
      <c r="A69" s="71">
        <f t="shared" si="3"/>
        <v>129720.6</v>
      </c>
      <c r="B69" s="72">
        <f t="shared" si="2"/>
        <v>-110</v>
      </c>
      <c r="C69" s="70">
        <v>68</v>
      </c>
      <c r="E69" s="66">
        <v>110</v>
      </c>
      <c r="F69" s="85">
        <v>45311</v>
      </c>
      <c r="G69" s="64" t="s">
        <v>65</v>
      </c>
      <c r="H69"/>
      <c r="I69"/>
    </row>
    <row r="70" spans="1:9" x14ac:dyDescent="0.35">
      <c r="A70" s="71">
        <f t="shared" si="3"/>
        <v>129665.60000000001</v>
      </c>
      <c r="B70" s="72">
        <f t="shared" si="2"/>
        <v>-55</v>
      </c>
      <c r="C70" s="70">
        <v>69</v>
      </c>
      <c r="E70" s="66">
        <v>55</v>
      </c>
      <c r="F70" s="85">
        <v>45311</v>
      </c>
      <c r="G70" s="64" t="s">
        <v>36</v>
      </c>
      <c r="H70"/>
      <c r="I70"/>
    </row>
    <row r="71" spans="1:9" x14ac:dyDescent="0.35">
      <c r="A71" s="71">
        <f t="shared" si="3"/>
        <v>153480.6</v>
      </c>
      <c r="B71" s="72">
        <f t="shared" si="2"/>
        <v>23815</v>
      </c>
      <c r="C71" s="70">
        <v>70</v>
      </c>
      <c r="D71" s="65">
        <v>23815</v>
      </c>
      <c r="F71" s="85">
        <v>45312</v>
      </c>
      <c r="G71" s="64" t="s">
        <v>12</v>
      </c>
      <c r="H71"/>
      <c r="I71"/>
    </row>
    <row r="72" spans="1:9" x14ac:dyDescent="0.35">
      <c r="A72" s="71">
        <f t="shared" si="3"/>
        <v>153380.6</v>
      </c>
      <c r="B72" s="72">
        <f t="shared" si="2"/>
        <v>-100</v>
      </c>
      <c r="C72" s="70">
        <v>71</v>
      </c>
      <c r="E72" s="66">
        <v>100</v>
      </c>
      <c r="F72" s="85">
        <v>45312</v>
      </c>
      <c r="G72" s="64" t="s">
        <v>66</v>
      </c>
      <c r="H72"/>
      <c r="I72"/>
    </row>
    <row r="73" spans="1:9" x14ac:dyDescent="0.35">
      <c r="A73" s="71">
        <f t="shared" si="3"/>
        <v>152900.6</v>
      </c>
      <c r="B73" s="72">
        <f t="shared" si="2"/>
        <v>-480</v>
      </c>
      <c r="C73" s="70">
        <v>72</v>
      </c>
      <c r="E73" s="66">
        <v>480</v>
      </c>
      <c r="F73" s="85">
        <v>45312</v>
      </c>
      <c r="G73" s="64" t="s">
        <v>67</v>
      </c>
      <c r="H73"/>
      <c r="I73"/>
    </row>
    <row r="74" spans="1:9" x14ac:dyDescent="0.35">
      <c r="A74" s="71">
        <f t="shared" si="3"/>
        <v>151330.6</v>
      </c>
      <c r="B74" s="72">
        <f t="shared" si="2"/>
        <v>-1570</v>
      </c>
      <c r="C74" s="70">
        <v>73</v>
      </c>
      <c r="E74" s="66">
        <v>1570</v>
      </c>
      <c r="F74" s="85">
        <v>45312</v>
      </c>
      <c r="G74" s="64" t="s">
        <v>68</v>
      </c>
      <c r="H74"/>
      <c r="I74"/>
    </row>
    <row r="75" spans="1:9" x14ac:dyDescent="0.35">
      <c r="A75" s="71">
        <f t="shared" si="3"/>
        <v>151330.6</v>
      </c>
      <c r="B75" s="72">
        <f t="shared" si="2"/>
        <v>0</v>
      </c>
      <c r="C75" s="70">
        <v>74</v>
      </c>
      <c r="D75" s="65">
        <v>190</v>
      </c>
      <c r="E75" s="66">
        <v>190</v>
      </c>
      <c r="F75" s="85">
        <v>45313</v>
      </c>
      <c r="G75" s="64" t="s">
        <v>848</v>
      </c>
      <c r="H75"/>
      <c r="I75"/>
    </row>
    <row r="76" spans="1:9" x14ac:dyDescent="0.35">
      <c r="A76" s="71">
        <f t="shared" si="3"/>
        <v>153420.6</v>
      </c>
      <c r="B76" s="72">
        <f t="shared" si="2"/>
        <v>2090</v>
      </c>
      <c r="C76" s="70">
        <v>75</v>
      </c>
      <c r="D76" s="65">
        <v>2090</v>
      </c>
      <c r="F76" s="85">
        <v>45314</v>
      </c>
      <c r="G76" s="64" t="s">
        <v>12</v>
      </c>
      <c r="H76"/>
      <c r="I76"/>
    </row>
    <row r="77" spans="1:9" x14ac:dyDescent="0.35">
      <c r="A77" s="71">
        <f t="shared" si="3"/>
        <v>153380.6</v>
      </c>
      <c r="B77" s="72">
        <f t="shared" si="2"/>
        <v>-40</v>
      </c>
      <c r="C77" s="70">
        <v>76</v>
      </c>
      <c r="E77" s="66">
        <v>40</v>
      </c>
      <c r="F77" s="85">
        <v>45314</v>
      </c>
      <c r="G77" s="64" t="s">
        <v>69</v>
      </c>
      <c r="H77"/>
      <c r="I77"/>
    </row>
    <row r="78" spans="1:9" x14ac:dyDescent="0.35">
      <c r="A78" s="71">
        <f t="shared" si="3"/>
        <v>169080.6</v>
      </c>
      <c r="B78" s="72">
        <f t="shared" si="2"/>
        <v>15700</v>
      </c>
      <c r="C78" s="70">
        <v>77</v>
      </c>
      <c r="D78" s="65">
        <v>15700</v>
      </c>
      <c r="F78" s="85">
        <v>45314</v>
      </c>
      <c r="G78" s="64" t="s">
        <v>12</v>
      </c>
      <c r="H78"/>
      <c r="I78"/>
    </row>
    <row r="79" spans="1:9" x14ac:dyDescent="0.35">
      <c r="A79" s="71">
        <f t="shared" si="3"/>
        <v>183635.6</v>
      </c>
      <c r="B79" s="72">
        <f t="shared" si="2"/>
        <v>14555</v>
      </c>
      <c r="C79" s="70">
        <v>78</v>
      </c>
      <c r="D79" s="65">
        <v>14555</v>
      </c>
      <c r="F79" s="85">
        <v>45315</v>
      </c>
      <c r="G79" s="64" t="s">
        <v>12</v>
      </c>
      <c r="H79"/>
      <c r="I79"/>
    </row>
    <row r="80" spans="1:9" x14ac:dyDescent="0.35">
      <c r="A80" s="71">
        <f t="shared" si="3"/>
        <v>183135.6</v>
      </c>
      <c r="B80" s="72">
        <f t="shared" si="2"/>
        <v>-500</v>
      </c>
      <c r="C80" s="70">
        <v>79</v>
      </c>
      <c r="E80" s="66">
        <v>500</v>
      </c>
      <c r="F80" s="85">
        <v>45315</v>
      </c>
      <c r="G80" s="64" t="s">
        <v>70</v>
      </c>
      <c r="H80"/>
      <c r="I80"/>
    </row>
    <row r="81" spans="1:9" x14ac:dyDescent="0.35">
      <c r="A81" s="71">
        <f t="shared" si="3"/>
        <v>182770.6</v>
      </c>
      <c r="B81" s="72">
        <f t="shared" si="2"/>
        <v>-365</v>
      </c>
      <c r="C81" s="70">
        <v>80</v>
      </c>
      <c r="E81" s="66">
        <v>365</v>
      </c>
      <c r="F81" s="85">
        <v>45315</v>
      </c>
      <c r="G81" s="64" t="s">
        <v>71</v>
      </c>
      <c r="H81"/>
      <c r="I81"/>
    </row>
    <row r="82" spans="1:9" x14ac:dyDescent="0.35">
      <c r="A82" s="71">
        <f t="shared" si="3"/>
        <v>172770.6</v>
      </c>
      <c r="B82" s="72">
        <f t="shared" si="2"/>
        <v>-10000</v>
      </c>
      <c r="C82" s="70">
        <v>81</v>
      </c>
      <c r="E82" s="66">
        <v>10000</v>
      </c>
      <c r="F82" s="85">
        <v>45316</v>
      </c>
      <c r="G82" s="64" t="s">
        <v>72</v>
      </c>
      <c r="H82"/>
      <c r="I82"/>
    </row>
    <row r="83" spans="1:9" x14ac:dyDescent="0.35">
      <c r="A83" s="71">
        <f t="shared" si="3"/>
        <v>174365.6</v>
      </c>
      <c r="B83" s="72">
        <f t="shared" si="2"/>
        <v>1595</v>
      </c>
      <c r="C83" s="70">
        <v>82</v>
      </c>
      <c r="D83" s="65">
        <v>1595</v>
      </c>
      <c r="F83" s="85">
        <v>45316</v>
      </c>
      <c r="H83"/>
      <c r="I83"/>
    </row>
    <row r="84" spans="1:9" x14ac:dyDescent="0.35">
      <c r="A84" s="71">
        <f t="shared" si="3"/>
        <v>173965.6</v>
      </c>
      <c r="B84" s="72">
        <f t="shared" si="2"/>
        <v>-400</v>
      </c>
      <c r="C84" s="70">
        <v>83</v>
      </c>
      <c r="E84" s="66">
        <v>400</v>
      </c>
      <c r="F84" s="85">
        <v>45318</v>
      </c>
      <c r="G84" s="64" t="s">
        <v>73</v>
      </c>
      <c r="H84"/>
      <c r="I84"/>
    </row>
    <row r="85" spans="1:9" x14ac:dyDescent="0.35">
      <c r="A85" s="71">
        <f t="shared" si="3"/>
        <v>179960.6</v>
      </c>
      <c r="B85" s="72">
        <f t="shared" si="2"/>
        <v>5995</v>
      </c>
      <c r="C85" s="70">
        <v>84</v>
      </c>
      <c r="D85" s="65">
        <v>6200</v>
      </c>
      <c r="E85" s="66">
        <v>205</v>
      </c>
      <c r="F85" s="85">
        <v>45318</v>
      </c>
      <c r="G85" s="64" t="s">
        <v>74</v>
      </c>
      <c r="H85"/>
      <c r="I85"/>
    </row>
    <row r="86" spans="1:9" x14ac:dyDescent="0.35">
      <c r="A86" s="71">
        <f t="shared" si="3"/>
        <v>179795.6</v>
      </c>
      <c r="B86" s="72">
        <f t="shared" si="2"/>
        <v>-165</v>
      </c>
      <c r="C86" s="70">
        <v>85</v>
      </c>
      <c r="E86" s="66">
        <v>165</v>
      </c>
      <c r="F86" s="85">
        <v>45318</v>
      </c>
      <c r="G86" s="64" t="s">
        <v>50</v>
      </c>
      <c r="H86"/>
      <c r="I86"/>
    </row>
    <row r="87" spans="1:9" x14ac:dyDescent="0.35">
      <c r="A87" s="71">
        <f t="shared" si="3"/>
        <v>179755.6</v>
      </c>
      <c r="B87" s="72">
        <f t="shared" si="2"/>
        <v>-40</v>
      </c>
      <c r="C87" s="70">
        <v>86</v>
      </c>
      <c r="E87" s="66">
        <v>40</v>
      </c>
      <c r="F87" s="85">
        <v>45318</v>
      </c>
      <c r="G87" s="64" t="s">
        <v>41</v>
      </c>
      <c r="H87"/>
      <c r="I87"/>
    </row>
    <row r="88" spans="1:9" x14ac:dyDescent="0.35">
      <c r="A88" s="71">
        <f t="shared" si="3"/>
        <v>232555.6</v>
      </c>
      <c r="B88" s="72">
        <f t="shared" si="2"/>
        <v>52800</v>
      </c>
      <c r="C88" s="70">
        <v>87</v>
      </c>
      <c r="D88" s="65">
        <v>53120</v>
      </c>
      <c r="E88" s="66">
        <v>320</v>
      </c>
      <c r="F88" s="85">
        <v>45319</v>
      </c>
      <c r="G88" s="64" t="s">
        <v>75</v>
      </c>
      <c r="H88"/>
      <c r="I88"/>
    </row>
    <row r="89" spans="1:9" x14ac:dyDescent="0.35">
      <c r="A89" s="71">
        <f t="shared" si="3"/>
        <v>234235.6</v>
      </c>
      <c r="B89" s="72">
        <f t="shared" si="2"/>
        <v>1680</v>
      </c>
      <c r="C89" s="70">
        <v>88</v>
      </c>
      <c r="D89" s="65">
        <v>1680</v>
      </c>
      <c r="F89" s="85">
        <v>45320</v>
      </c>
      <c r="G89" s="64" t="s">
        <v>12</v>
      </c>
      <c r="H89"/>
      <c r="I89"/>
    </row>
    <row r="90" spans="1:9" x14ac:dyDescent="0.35">
      <c r="A90" s="71">
        <f t="shared" si="3"/>
        <v>234125.6</v>
      </c>
      <c r="B90" s="72">
        <f t="shared" si="2"/>
        <v>-110</v>
      </c>
      <c r="C90" s="70">
        <v>89</v>
      </c>
      <c r="E90" s="66">
        <v>110</v>
      </c>
      <c r="F90" s="85">
        <v>45321</v>
      </c>
      <c r="G90" s="64" t="s">
        <v>76</v>
      </c>
      <c r="H90"/>
      <c r="I90"/>
    </row>
    <row r="91" spans="1:9" x14ac:dyDescent="0.35">
      <c r="A91" s="71">
        <f t="shared" si="3"/>
        <v>228625.6</v>
      </c>
      <c r="B91" s="72">
        <f t="shared" si="2"/>
        <v>-5500</v>
      </c>
      <c r="C91" s="70">
        <v>90</v>
      </c>
      <c r="E91" s="66">
        <v>5500</v>
      </c>
      <c r="F91" s="85">
        <v>45321</v>
      </c>
      <c r="G91" s="64" t="s">
        <v>77</v>
      </c>
      <c r="H91"/>
      <c r="I91"/>
    </row>
    <row r="92" spans="1:9" x14ac:dyDescent="0.35">
      <c r="A92" s="71">
        <f t="shared" si="3"/>
        <v>248395.6</v>
      </c>
      <c r="B92" s="72">
        <f t="shared" si="2"/>
        <v>19770</v>
      </c>
      <c r="C92" s="70">
        <v>91</v>
      </c>
      <c r="D92" s="65">
        <v>19770</v>
      </c>
      <c r="F92" s="85">
        <v>45321</v>
      </c>
      <c r="G92" s="64" t="s">
        <v>12</v>
      </c>
      <c r="H92"/>
      <c r="I92"/>
    </row>
    <row r="93" spans="1:9" x14ac:dyDescent="0.35">
      <c r="A93" s="71">
        <f t="shared" si="3"/>
        <v>248295.6</v>
      </c>
      <c r="B93" s="72">
        <f t="shared" si="2"/>
        <v>-100</v>
      </c>
      <c r="C93" s="70">
        <v>92</v>
      </c>
      <c r="E93" s="66">
        <v>100</v>
      </c>
      <c r="F93" s="85">
        <v>45321</v>
      </c>
      <c r="G93" s="64" t="s">
        <v>78</v>
      </c>
      <c r="H93"/>
      <c r="I93"/>
    </row>
    <row r="94" spans="1:9" x14ac:dyDescent="0.35">
      <c r="A94" s="71">
        <f t="shared" si="3"/>
        <v>248255.6</v>
      </c>
      <c r="B94" s="72">
        <f t="shared" si="2"/>
        <v>-40</v>
      </c>
      <c r="C94" s="70">
        <v>93</v>
      </c>
      <c r="E94" s="66">
        <v>40</v>
      </c>
      <c r="F94" s="85">
        <v>45322</v>
      </c>
      <c r="G94" s="64" t="s">
        <v>2</v>
      </c>
      <c r="H94"/>
      <c r="I94"/>
    </row>
    <row r="95" spans="1:9" x14ac:dyDescent="0.35">
      <c r="A95" s="71">
        <f t="shared" si="3"/>
        <v>279705.59999999998</v>
      </c>
      <c r="B95" s="72">
        <f t="shared" si="2"/>
        <v>31450</v>
      </c>
      <c r="C95" s="70">
        <v>94</v>
      </c>
      <c r="D95" s="65">
        <v>31490</v>
      </c>
      <c r="E95" s="66">
        <v>40</v>
      </c>
      <c r="F95" s="85">
        <v>45322</v>
      </c>
      <c r="G95" s="64" t="s">
        <v>79</v>
      </c>
      <c r="H95"/>
      <c r="I95"/>
    </row>
    <row r="96" spans="1:9" x14ac:dyDescent="0.35">
      <c r="A96" s="71">
        <f t="shared" si="3"/>
        <v>279585.59999999998</v>
      </c>
      <c r="B96" s="72">
        <f t="shared" si="2"/>
        <v>-120</v>
      </c>
      <c r="C96" s="70">
        <v>95</v>
      </c>
      <c r="E96" s="66">
        <v>120</v>
      </c>
      <c r="F96" s="85">
        <v>45322</v>
      </c>
      <c r="G96" s="64" t="s">
        <v>80</v>
      </c>
      <c r="H96"/>
      <c r="I96"/>
    </row>
    <row r="97" spans="1:9" x14ac:dyDescent="0.35">
      <c r="A97" s="71">
        <f t="shared" si="3"/>
        <v>280425.59999999998</v>
      </c>
      <c r="B97" s="72">
        <f t="shared" si="2"/>
        <v>840</v>
      </c>
      <c r="C97" s="70">
        <v>96</v>
      </c>
      <c r="D97" s="65">
        <v>840</v>
      </c>
      <c r="F97" s="85">
        <v>45322</v>
      </c>
      <c r="G97" s="64" t="s">
        <v>81</v>
      </c>
      <c r="H97"/>
      <c r="I97"/>
    </row>
    <row r="98" spans="1:9" x14ac:dyDescent="0.35">
      <c r="A98" s="71">
        <f t="shared" si="3"/>
        <v>215001.59999999998</v>
      </c>
      <c r="B98" s="72">
        <f t="shared" si="2"/>
        <v>-65424</v>
      </c>
      <c r="C98" s="70">
        <v>97</v>
      </c>
      <c r="E98" s="66">
        <v>65424</v>
      </c>
      <c r="F98" s="85">
        <v>45323</v>
      </c>
      <c r="G98" s="64" t="s">
        <v>82</v>
      </c>
      <c r="H98"/>
      <c r="I98"/>
    </row>
    <row r="99" spans="1:9" x14ac:dyDescent="0.35">
      <c r="A99" s="71">
        <f t="shared" si="3"/>
        <v>214981.59999999998</v>
      </c>
      <c r="B99" s="72">
        <f t="shared" si="2"/>
        <v>-20</v>
      </c>
      <c r="C99" s="70">
        <v>98</v>
      </c>
      <c r="E99" s="66">
        <v>20</v>
      </c>
      <c r="F99" s="85">
        <v>45323</v>
      </c>
      <c r="G99" s="64" t="s">
        <v>83</v>
      </c>
      <c r="H99"/>
      <c r="I99"/>
    </row>
    <row r="100" spans="1:9" x14ac:dyDescent="0.35">
      <c r="A100" s="71">
        <f t="shared" si="3"/>
        <v>212981.59999999998</v>
      </c>
      <c r="B100" s="72">
        <f t="shared" si="2"/>
        <v>-2000</v>
      </c>
      <c r="C100" s="70">
        <v>99</v>
      </c>
      <c r="E100" s="66">
        <v>2000</v>
      </c>
      <c r="F100" s="85">
        <v>45323</v>
      </c>
      <c r="G100" s="64" t="s">
        <v>84</v>
      </c>
      <c r="H100"/>
      <c r="I100"/>
    </row>
    <row r="101" spans="1:9" x14ac:dyDescent="0.35">
      <c r="A101" s="71">
        <f t="shared" si="3"/>
        <v>192577.59999999998</v>
      </c>
      <c r="B101" s="72">
        <f t="shared" si="2"/>
        <v>-20404</v>
      </c>
      <c r="C101" s="70">
        <v>100</v>
      </c>
      <c r="E101" s="66">
        <v>20404</v>
      </c>
      <c r="F101" s="85">
        <v>45323</v>
      </c>
      <c r="G101" s="64" t="s">
        <v>85</v>
      </c>
      <c r="H101"/>
      <c r="I101"/>
    </row>
    <row r="102" spans="1:9" x14ac:dyDescent="0.35">
      <c r="A102" s="71">
        <f t="shared" si="3"/>
        <v>168377.59999999998</v>
      </c>
      <c r="B102" s="72">
        <f t="shared" si="2"/>
        <v>-24200</v>
      </c>
      <c r="C102" s="70">
        <v>101</v>
      </c>
      <c r="E102" s="66">
        <v>24200</v>
      </c>
      <c r="F102" s="85">
        <v>45323</v>
      </c>
      <c r="G102" s="64" t="s">
        <v>15</v>
      </c>
      <c r="H102"/>
      <c r="I102"/>
    </row>
    <row r="103" spans="1:9" x14ac:dyDescent="0.35">
      <c r="A103" s="71">
        <f t="shared" si="3"/>
        <v>167677.59999999998</v>
      </c>
      <c r="B103" s="72">
        <f t="shared" si="2"/>
        <v>-700</v>
      </c>
      <c r="C103" s="70">
        <v>102</v>
      </c>
      <c r="E103" s="66">
        <v>700</v>
      </c>
      <c r="F103" s="85">
        <v>45323</v>
      </c>
      <c r="G103" s="64" t="s">
        <v>86</v>
      </c>
      <c r="H103"/>
      <c r="I103"/>
    </row>
    <row r="104" spans="1:9" x14ac:dyDescent="0.35">
      <c r="A104" s="71">
        <f t="shared" si="3"/>
        <v>166677.59999999998</v>
      </c>
      <c r="B104" s="72">
        <f t="shared" si="2"/>
        <v>-1000</v>
      </c>
      <c r="C104" s="70">
        <v>103</v>
      </c>
      <c r="E104" s="66">
        <v>1000</v>
      </c>
      <c r="F104" s="85">
        <v>45323</v>
      </c>
      <c r="G104" s="64" t="s">
        <v>87</v>
      </c>
      <c r="H104"/>
      <c r="I104"/>
    </row>
    <row r="105" spans="1:9" x14ac:dyDescent="0.35">
      <c r="A105" s="71">
        <f t="shared" si="3"/>
        <v>167677.59999999998</v>
      </c>
      <c r="B105" s="72">
        <f t="shared" si="2"/>
        <v>1000</v>
      </c>
      <c r="C105" s="70">
        <v>104</v>
      </c>
      <c r="D105" s="65">
        <v>1020</v>
      </c>
      <c r="E105" s="66">
        <v>20</v>
      </c>
      <c r="F105" s="85">
        <v>45323</v>
      </c>
      <c r="G105" s="64" t="s">
        <v>88</v>
      </c>
      <c r="H105"/>
      <c r="I105"/>
    </row>
    <row r="106" spans="1:9" x14ac:dyDescent="0.35">
      <c r="A106" s="71">
        <f t="shared" si="3"/>
        <v>167377.59999999998</v>
      </c>
      <c r="B106" s="72">
        <f t="shared" si="2"/>
        <v>-300</v>
      </c>
      <c r="C106" s="70">
        <v>105</v>
      </c>
      <c r="E106" s="66">
        <v>300</v>
      </c>
      <c r="F106" s="85">
        <v>45325</v>
      </c>
      <c r="G106" s="64" t="s">
        <v>89</v>
      </c>
      <c r="H106"/>
      <c r="I106"/>
    </row>
    <row r="107" spans="1:9" x14ac:dyDescent="0.35">
      <c r="A107" s="71">
        <f t="shared" si="3"/>
        <v>172852.59999999998</v>
      </c>
      <c r="B107" s="72">
        <f t="shared" si="2"/>
        <v>5475</v>
      </c>
      <c r="C107" s="70">
        <v>106</v>
      </c>
      <c r="D107" s="65">
        <v>5475</v>
      </c>
      <c r="F107" s="85">
        <v>45325</v>
      </c>
      <c r="G107" s="64" t="s">
        <v>3</v>
      </c>
      <c r="H107"/>
      <c r="I107"/>
    </row>
    <row r="108" spans="1:9" x14ac:dyDescent="0.35">
      <c r="A108" s="71">
        <f t="shared" si="3"/>
        <v>172432.59999999998</v>
      </c>
      <c r="B108" s="72">
        <f t="shared" si="2"/>
        <v>-420</v>
      </c>
      <c r="C108" s="70">
        <v>107</v>
      </c>
      <c r="E108" s="66">
        <v>420</v>
      </c>
      <c r="F108" s="85">
        <v>45325</v>
      </c>
      <c r="G108" s="64" t="s">
        <v>90</v>
      </c>
      <c r="H108"/>
      <c r="I108"/>
    </row>
    <row r="109" spans="1:9" x14ac:dyDescent="0.35">
      <c r="A109" s="71">
        <f t="shared" si="3"/>
        <v>171495.59999999998</v>
      </c>
      <c r="B109" s="72">
        <f t="shared" si="2"/>
        <v>-937</v>
      </c>
      <c r="C109" s="70">
        <v>108</v>
      </c>
      <c r="E109" s="66">
        <v>937</v>
      </c>
      <c r="F109" s="85">
        <v>45325</v>
      </c>
      <c r="G109" s="64" t="s">
        <v>91</v>
      </c>
      <c r="H109"/>
      <c r="I109"/>
    </row>
    <row r="110" spans="1:9" x14ac:dyDescent="0.35">
      <c r="A110" s="71">
        <f t="shared" si="3"/>
        <v>166505.59999999998</v>
      </c>
      <c r="B110" s="72">
        <f t="shared" si="2"/>
        <v>-4990</v>
      </c>
      <c r="C110" s="70">
        <v>109</v>
      </c>
      <c r="E110" s="66">
        <v>4990</v>
      </c>
      <c r="F110" s="85">
        <v>45326</v>
      </c>
      <c r="G110" s="64" t="s">
        <v>92</v>
      </c>
      <c r="H110"/>
      <c r="I110"/>
    </row>
    <row r="111" spans="1:9" x14ac:dyDescent="0.35">
      <c r="A111" s="71">
        <f t="shared" si="3"/>
        <v>165305.59999999998</v>
      </c>
      <c r="B111" s="72">
        <f t="shared" si="2"/>
        <v>-1200</v>
      </c>
      <c r="C111" s="70">
        <v>110</v>
      </c>
      <c r="E111" s="66">
        <v>1200</v>
      </c>
      <c r="F111" s="85">
        <v>45326</v>
      </c>
      <c r="G111" s="64" t="s">
        <v>93</v>
      </c>
      <c r="H111"/>
      <c r="I111"/>
    </row>
    <row r="112" spans="1:9" x14ac:dyDescent="0.35">
      <c r="A112" s="71">
        <f t="shared" si="3"/>
        <v>147805.59999999998</v>
      </c>
      <c r="B112" s="72">
        <f t="shared" si="2"/>
        <v>-17500</v>
      </c>
      <c r="C112" s="70">
        <v>111</v>
      </c>
      <c r="E112" s="66">
        <v>17500</v>
      </c>
      <c r="F112" s="85">
        <v>45327</v>
      </c>
      <c r="G112" s="64" t="s">
        <v>17</v>
      </c>
      <c r="H112"/>
      <c r="I112"/>
    </row>
    <row r="113" spans="1:9" x14ac:dyDescent="0.35">
      <c r="A113" s="71">
        <f t="shared" si="3"/>
        <v>147480.59999999998</v>
      </c>
      <c r="B113" s="72">
        <f t="shared" si="2"/>
        <v>-325</v>
      </c>
      <c r="C113" s="70">
        <v>112</v>
      </c>
      <c r="E113" s="66">
        <v>325</v>
      </c>
      <c r="F113" s="85">
        <v>45327</v>
      </c>
      <c r="G113" s="64" t="s">
        <v>94</v>
      </c>
      <c r="H113"/>
      <c r="I113"/>
    </row>
    <row r="114" spans="1:9" x14ac:dyDescent="0.35">
      <c r="A114" s="71">
        <f t="shared" si="3"/>
        <v>147270.59999999998</v>
      </c>
      <c r="B114" s="72">
        <f t="shared" si="2"/>
        <v>-210</v>
      </c>
      <c r="C114" s="70">
        <v>113</v>
      </c>
      <c r="E114" s="66">
        <v>210</v>
      </c>
      <c r="F114" s="85">
        <v>45327</v>
      </c>
      <c r="G114" s="64" t="s">
        <v>1</v>
      </c>
      <c r="H114"/>
      <c r="I114"/>
    </row>
    <row r="115" spans="1:9" x14ac:dyDescent="0.35">
      <c r="A115" s="71">
        <f t="shared" si="3"/>
        <v>191070.59999999998</v>
      </c>
      <c r="B115" s="72">
        <f t="shared" si="2"/>
        <v>43800</v>
      </c>
      <c r="C115" s="70">
        <v>114</v>
      </c>
      <c r="D115" s="65">
        <v>43920</v>
      </c>
      <c r="E115" s="66">
        <v>120</v>
      </c>
      <c r="F115" s="85">
        <v>45327</v>
      </c>
      <c r="G115" s="64" t="s">
        <v>25</v>
      </c>
      <c r="H115"/>
      <c r="I115"/>
    </row>
    <row r="116" spans="1:9" x14ac:dyDescent="0.35">
      <c r="A116" s="71">
        <f t="shared" si="3"/>
        <v>190990.59999999998</v>
      </c>
      <c r="B116" s="72">
        <f t="shared" si="2"/>
        <v>-80</v>
      </c>
      <c r="C116" s="70">
        <v>115</v>
      </c>
      <c r="E116" s="66">
        <v>80</v>
      </c>
      <c r="F116" s="85">
        <v>45327</v>
      </c>
      <c r="G116" s="64" t="s">
        <v>95</v>
      </c>
      <c r="H116"/>
      <c r="I116"/>
    </row>
    <row r="117" spans="1:9" x14ac:dyDescent="0.35">
      <c r="A117" s="71">
        <f t="shared" si="3"/>
        <v>187940.59999999998</v>
      </c>
      <c r="B117" s="72">
        <f t="shared" si="2"/>
        <v>-3050</v>
      </c>
      <c r="C117" s="70">
        <v>116</v>
      </c>
      <c r="E117" s="66">
        <v>3050</v>
      </c>
      <c r="F117" s="85">
        <v>45327</v>
      </c>
      <c r="G117" s="64" t="s">
        <v>96</v>
      </c>
      <c r="H117"/>
      <c r="I117"/>
    </row>
    <row r="118" spans="1:9" x14ac:dyDescent="0.35">
      <c r="A118" s="71">
        <f t="shared" si="3"/>
        <v>186440.59999999998</v>
      </c>
      <c r="B118" s="72">
        <f t="shared" si="2"/>
        <v>-1500</v>
      </c>
      <c r="C118" s="70">
        <v>117</v>
      </c>
      <c r="E118" s="66">
        <v>1500</v>
      </c>
      <c r="F118" s="85">
        <v>45327</v>
      </c>
      <c r="G118" s="64" t="s">
        <v>97</v>
      </c>
      <c r="H118"/>
      <c r="I118"/>
    </row>
    <row r="119" spans="1:9" x14ac:dyDescent="0.35">
      <c r="A119" s="71">
        <f t="shared" si="3"/>
        <v>183690.59999999998</v>
      </c>
      <c r="B119" s="72">
        <f t="shared" si="2"/>
        <v>-2750</v>
      </c>
      <c r="C119" s="70">
        <v>118</v>
      </c>
      <c r="E119" s="66">
        <v>2750</v>
      </c>
      <c r="F119" s="85">
        <v>45327</v>
      </c>
      <c r="G119" s="64" t="s">
        <v>98</v>
      </c>
      <c r="H119"/>
      <c r="I119"/>
    </row>
    <row r="120" spans="1:9" x14ac:dyDescent="0.35">
      <c r="A120" s="71">
        <f t="shared" si="3"/>
        <v>192980.59999999998</v>
      </c>
      <c r="B120" s="72">
        <f t="shared" si="2"/>
        <v>9290</v>
      </c>
      <c r="C120" s="70">
        <v>119</v>
      </c>
      <c r="D120" s="65">
        <v>9290</v>
      </c>
      <c r="F120" s="85">
        <v>45327</v>
      </c>
      <c r="G120" s="64" t="s">
        <v>12</v>
      </c>
      <c r="H120"/>
      <c r="I120"/>
    </row>
    <row r="121" spans="1:9" x14ac:dyDescent="0.35">
      <c r="A121" s="71">
        <f t="shared" si="3"/>
        <v>209845.59999999998</v>
      </c>
      <c r="B121" s="72">
        <f t="shared" si="2"/>
        <v>16865</v>
      </c>
      <c r="C121" s="70">
        <v>120</v>
      </c>
      <c r="D121" s="65">
        <v>16865</v>
      </c>
      <c r="F121" s="85">
        <v>45328</v>
      </c>
      <c r="G121" s="64" t="s">
        <v>12</v>
      </c>
      <c r="H121"/>
      <c r="I121"/>
    </row>
    <row r="122" spans="1:9" x14ac:dyDescent="0.35">
      <c r="A122" s="71">
        <f t="shared" si="3"/>
        <v>208845.59999999998</v>
      </c>
      <c r="B122" s="72">
        <f t="shared" si="2"/>
        <v>-1000</v>
      </c>
      <c r="C122" s="70">
        <v>121</v>
      </c>
      <c r="E122" s="66">
        <v>1000</v>
      </c>
      <c r="F122" s="85">
        <v>45328</v>
      </c>
      <c r="G122" s="64" t="s">
        <v>429</v>
      </c>
      <c r="H122"/>
      <c r="I122"/>
    </row>
    <row r="123" spans="1:9" x14ac:dyDescent="0.35">
      <c r="A123" s="71">
        <f t="shared" si="3"/>
        <v>208745.59999999998</v>
      </c>
      <c r="B123" s="72">
        <f t="shared" si="2"/>
        <v>-100</v>
      </c>
      <c r="C123" s="70">
        <v>122</v>
      </c>
      <c r="E123" s="66">
        <v>100</v>
      </c>
      <c r="F123" s="85">
        <v>45328</v>
      </c>
      <c r="G123" s="64" t="s">
        <v>99</v>
      </c>
      <c r="H123"/>
      <c r="I123"/>
    </row>
    <row r="124" spans="1:9" x14ac:dyDescent="0.35">
      <c r="A124" s="71">
        <f t="shared" si="3"/>
        <v>241370.59999999998</v>
      </c>
      <c r="B124" s="72">
        <f t="shared" si="2"/>
        <v>32625</v>
      </c>
      <c r="C124" s="70">
        <v>123</v>
      </c>
      <c r="D124" s="65">
        <v>32680</v>
      </c>
      <c r="E124" s="66">
        <v>55</v>
      </c>
      <c r="F124" s="85">
        <v>45329</v>
      </c>
      <c r="G124" s="64" t="s">
        <v>36</v>
      </c>
      <c r="H124"/>
      <c r="I124"/>
    </row>
    <row r="125" spans="1:9" x14ac:dyDescent="0.35">
      <c r="A125" s="71">
        <f t="shared" si="3"/>
        <v>241310.59999999998</v>
      </c>
      <c r="B125" s="72">
        <f t="shared" si="2"/>
        <v>-60</v>
      </c>
      <c r="C125" s="70">
        <v>124</v>
      </c>
      <c r="E125" s="66">
        <v>60</v>
      </c>
      <c r="F125" s="85">
        <v>45329</v>
      </c>
      <c r="G125" s="64" t="s">
        <v>100</v>
      </c>
      <c r="H125"/>
      <c r="I125"/>
    </row>
    <row r="126" spans="1:9" x14ac:dyDescent="0.35">
      <c r="A126" s="71">
        <f t="shared" si="3"/>
        <v>240195.59999999998</v>
      </c>
      <c r="B126" s="72">
        <f t="shared" si="2"/>
        <v>-1115</v>
      </c>
      <c r="C126" s="70">
        <v>125</v>
      </c>
      <c r="E126" s="66">
        <v>1115</v>
      </c>
      <c r="F126" s="85">
        <v>45330</v>
      </c>
      <c r="G126" s="64" t="s">
        <v>101</v>
      </c>
      <c r="H126"/>
      <c r="I126"/>
    </row>
    <row r="127" spans="1:9" x14ac:dyDescent="0.35">
      <c r="A127" s="71">
        <f t="shared" si="3"/>
        <v>241600.59999999998</v>
      </c>
      <c r="B127" s="72">
        <f t="shared" si="2"/>
        <v>1405</v>
      </c>
      <c r="C127" s="70">
        <v>126</v>
      </c>
      <c r="D127" s="65">
        <v>1405</v>
      </c>
      <c r="F127" s="85">
        <v>45330</v>
      </c>
      <c r="G127" s="64" t="s">
        <v>12</v>
      </c>
      <c r="H127"/>
      <c r="I127"/>
    </row>
    <row r="128" spans="1:9" x14ac:dyDescent="0.35">
      <c r="A128" s="71">
        <f t="shared" si="3"/>
        <v>211674.59999999998</v>
      </c>
      <c r="B128" s="72">
        <f t="shared" si="2"/>
        <v>-29926</v>
      </c>
      <c r="C128" s="70">
        <v>127</v>
      </c>
      <c r="E128" s="66">
        <v>29926</v>
      </c>
      <c r="F128" s="85">
        <v>45332</v>
      </c>
      <c r="G128" s="64" t="s">
        <v>18</v>
      </c>
      <c r="H128"/>
      <c r="I128"/>
    </row>
    <row r="129" spans="1:9" x14ac:dyDescent="0.35">
      <c r="A129" s="71">
        <f t="shared" si="3"/>
        <v>218664.59999999998</v>
      </c>
      <c r="B129" s="72">
        <f t="shared" si="2"/>
        <v>6990</v>
      </c>
      <c r="C129" s="70">
        <v>128</v>
      </c>
      <c r="D129" s="65">
        <v>6990</v>
      </c>
      <c r="F129" s="85">
        <v>45332</v>
      </c>
      <c r="G129" s="64" t="s">
        <v>12</v>
      </c>
      <c r="H129"/>
      <c r="I129"/>
    </row>
    <row r="130" spans="1:9" x14ac:dyDescent="0.35">
      <c r="A130" s="71">
        <f t="shared" si="3"/>
        <v>217906.59999999998</v>
      </c>
      <c r="B130" s="72">
        <f t="shared" si="2"/>
        <v>-758</v>
      </c>
      <c r="C130" s="70">
        <v>129</v>
      </c>
      <c r="E130" s="66">
        <v>758</v>
      </c>
      <c r="F130" s="85">
        <v>45332</v>
      </c>
      <c r="G130" s="64" t="s">
        <v>102</v>
      </c>
      <c r="H130"/>
      <c r="I130"/>
    </row>
    <row r="131" spans="1:9" x14ac:dyDescent="0.35">
      <c r="A131" s="71">
        <f t="shared" si="3"/>
        <v>217810.59999999998</v>
      </c>
      <c r="B131" s="72">
        <f t="shared" ref="B131:B194" si="4">SUM(D131-E131)</f>
        <v>-96</v>
      </c>
      <c r="C131" s="70">
        <v>130</v>
      </c>
      <c r="E131" s="66">
        <v>96</v>
      </c>
      <c r="F131" s="85">
        <v>45332</v>
      </c>
      <c r="G131" s="64" t="s">
        <v>103</v>
      </c>
      <c r="H131"/>
      <c r="I131"/>
    </row>
    <row r="132" spans="1:9" x14ac:dyDescent="0.35">
      <c r="A132" s="71">
        <f t="shared" ref="A132:A195" si="5">SUM(A131+B132)</f>
        <v>35810.599999999977</v>
      </c>
      <c r="B132" s="72">
        <f t="shared" si="4"/>
        <v>-182000</v>
      </c>
      <c r="C132" s="70">
        <v>131</v>
      </c>
      <c r="E132" s="66">
        <v>182000</v>
      </c>
      <c r="F132" s="85">
        <v>45332</v>
      </c>
      <c r="G132" s="64" t="s">
        <v>104</v>
      </c>
      <c r="H132"/>
      <c r="I132"/>
    </row>
    <row r="133" spans="1:9" x14ac:dyDescent="0.35">
      <c r="A133" s="71">
        <f t="shared" si="5"/>
        <v>34700.599999999977</v>
      </c>
      <c r="B133" s="72">
        <f t="shared" si="4"/>
        <v>-1110</v>
      </c>
      <c r="C133" s="70">
        <v>132</v>
      </c>
      <c r="E133" s="66">
        <v>1110</v>
      </c>
      <c r="F133" s="85">
        <v>45333</v>
      </c>
      <c r="G133" s="64" t="s">
        <v>105</v>
      </c>
      <c r="H133"/>
      <c r="I133"/>
    </row>
    <row r="134" spans="1:9" x14ac:dyDescent="0.35">
      <c r="A134" s="71">
        <f t="shared" si="5"/>
        <v>69170.599999999977</v>
      </c>
      <c r="B134" s="72">
        <f t="shared" si="4"/>
        <v>34470</v>
      </c>
      <c r="C134" s="70">
        <v>133</v>
      </c>
      <c r="D134" s="65">
        <v>34540</v>
      </c>
      <c r="E134" s="66">
        <v>70</v>
      </c>
      <c r="F134" s="85">
        <v>45333</v>
      </c>
      <c r="G134" s="64" t="s">
        <v>106</v>
      </c>
      <c r="H134"/>
      <c r="I134"/>
    </row>
    <row r="135" spans="1:9" x14ac:dyDescent="0.35">
      <c r="A135" s="71">
        <f t="shared" si="5"/>
        <v>69000.599999999977</v>
      </c>
      <c r="B135" s="72">
        <f t="shared" si="4"/>
        <v>-170</v>
      </c>
      <c r="C135" s="70">
        <v>134</v>
      </c>
      <c r="E135" s="66">
        <v>170</v>
      </c>
      <c r="F135" s="85">
        <v>45333</v>
      </c>
      <c r="G135" s="64" t="s">
        <v>107</v>
      </c>
      <c r="H135"/>
      <c r="I135"/>
    </row>
    <row r="136" spans="1:9" x14ac:dyDescent="0.35">
      <c r="A136" s="71">
        <f t="shared" si="5"/>
        <v>68850.599999999977</v>
      </c>
      <c r="B136" s="72">
        <f t="shared" si="4"/>
        <v>-150</v>
      </c>
      <c r="C136" s="70">
        <v>135</v>
      </c>
      <c r="E136" s="66">
        <v>150</v>
      </c>
      <c r="F136" s="85">
        <v>45333</v>
      </c>
      <c r="G136" s="64" t="s">
        <v>50</v>
      </c>
      <c r="H136"/>
      <c r="I136"/>
    </row>
    <row r="137" spans="1:9" x14ac:dyDescent="0.35">
      <c r="A137" s="71">
        <f t="shared" si="5"/>
        <v>76725.599999999977</v>
      </c>
      <c r="B137" s="72">
        <f t="shared" si="4"/>
        <v>7875</v>
      </c>
      <c r="C137" s="70">
        <v>136</v>
      </c>
      <c r="D137" s="65">
        <v>7935</v>
      </c>
      <c r="E137" s="66">
        <v>60</v>
      </c>
      <c r="F137" s="85">
        <v>45334</v>
      </c>
      <c r="G137" s="64" t="s">
        <v>31</v>
      </c>
      <c r="H137"/>
      <c r="I137"/>
    </row>
    <row r="138" spans="1:9" x14ac:dyDescent="0.35">
      <c r="A138" s="71">
        <f t="shared" si="5"/>
        <v>84605.599999999977</v>
      </c>
      <c r="B138" s="72">
        <f t="shared" si="4"/>
        <v>7880</v>
      </c>
      <c r="C138" s="70">
        <v>137</v>
      </c>
      <c r="D138" s="65">
        <v>7880</v>
      </c>
      <c r="F138" s="85">
        <v>45335</v>
      </c>
      <c r="G138" s="64" t="s">
        <v>12</v>
      </c>
      <c r="H138"/>
      <c r="I138"/>
    </row>
    <row r="139" spans="1:9" x14ac:dyDescent="0.35">
      <c r="A139" s="71">
        <f t="shared" si="5"/>
        <v>117765.59999999998</v>
      </c>
      <c r="B139" s="72">
        <f t="shared" si="4"/>
        <v>33160</v>
      </c>
      <c r="C139" s="70">
        <v>138</v>
      </c>
      <c r="D139" s="65">
        <v>33230</v>
      </c>
      <c r="E139" s="66">
        <v>70</v>
      </c>
      <c r="F139" s="85">
        <v>45336</v>
      </c>
      <c r="G139" s="64" t="s">
        <v>108</v>
      </c>
      <c r="H139"/>
      <c r="I139"/>
    </row>
    <row r="140" spans="1:9" x14ac:dyDescent="0.35">
      <c r="A140" s="71">
        <f t="shared" si="5"/>
        <v>116965.59999999998</v>
      </c>
      <c r="B140" s="72">
        <f t="shared" si="4"/>
        <v>-800</v>
      </c>
      <c r="C140" s="70">
        <v>139</v>
      </c>
      <c r="E140" s="66">
        <v>800</v>
      </c>
      <c r="F140" s="85">
        <v>45336</v>
      </c>
      <c r="G140" s="64" t="s">
        <v>109</v>
      </c>
      <c r="H140"/>
      <c r="I140"/>
    </row>
    <row r="141" spans="1:9" x14ac:dyDescent="0.35">
      <c r="A141" s="71">
        <f t="shared" si="5"/>
        <v>115640.59999999998</v>
      </c>
      <c r="B141" s="72">
        <f t="shared" si="4"/>
        <v>-1325</v>
      </c>
      <c r="C141" s="70">
        <v>140</v>
      </c>
      <c r="E141" s="66">
        <v>1325</v>
      </c>
      <c r="F141" s="85">
        <v>45333</v>
      </c>
      <c r="G141" s="64" t="s">
        <v>110</v>
      </c>
      <c r="H141"/>
      <c r="I141"/>
    </row>
    <row r="142" spans="1:9" x14ac:dyDescent="0.35">
      <c r="A142" s="71">
        <f t="shared" si="5"/>
        <v>106240.59999999998</v>
      </c>
      <c r="B142" s="72">
        <f t="shared" si="4"/>
        <v>-9400</v>
      </c>
      <c r="C142" s="70">
        <v>141</v>
      </c>
      <c r="E142" s="66">
        <v>9400</v>
      </c>
      <c r="F142" s="85">
        <v>45335</v>
      </c>
      <c r="G142" s="64" t="s">
        <v>111</v>
      </c>
      <c r="H142"/>
      <c r="I142"/>
    </row>
    <row r="143" spans="1:9" x14ac:dyDescent="0.35">
      <c r="A143" s="71">
        <f t="shared" si="5"/>
        <v>105390.59999999998</v>
      </c>
      <c r="B143" s="72">
        <f t="shared" si="4"/>
        <v>-850</v>
      </c>
      <c r="C143" s="70">
        <v>142</v>
      </c>
      <c r="E143" s="66">
        <v>850</v>
      </c>
      <c r="F143" s="85">
        <v>45336</v>
      </c>
      <c r="G143" s="64" t="s">
        <v>112</v>
      </c>
      <c r="H143"/>
      <c r="I143"/>
    </row>
    <row r="144" spans="1:9" x14ac:dyDescent="0.35">
      <c r="A144" s="71">
        <f t="shared" si="5"/>
        <v>105330.59999999998</v>
      </c>
      <c r="B144" s="72">
        <f t="shared" si="4"/>
        <v>-60</v>
      </c>
      <c r="C144" s="70">
        <v>143</v>
      </c>
      <c r="E144" s="66">
        <v>60</v>
      </c>
      <c r="F144" s="85">
        <v>45336</v>
      </c>
      <c r="G144" s="64" t="s">
        <v>113</v>
      </c>
      <c r="H144"/>
      <c r="I144"/>
    </row>
    <row r="145" spans="1:9" x14ac:dyDescent="0.35">
      <c r="A145" s="71">
        <f t="shared" si="5"/>
        <v>103941.59999999998</v>
      </c>
      <c r="B145" s="72">
        <f t="shared" si="4"/>
        <v>-1389</v>
      </c>
      <c r="C145" s="70">
        <v>144</v>
      </c>
      <c r="E145" s="66">
        <v>1389</v>
      </c>
      <c r="F145" s="85">
        <v>45336</v>
      </c>
      <c r="G145" s="64" t="s">
        <v>114</v>
      </c>
      <c r="H145"/>
      <c r="I145"/>
    </row>
    <row r="146" spans="1:9" x14ac:dyDescent="0.35">
      <c r="A146" s="71">
        <f t="shared" si="5"/>
        <v>99941.599999999977</v>
      </c>
      <c r="B146" s="72">
        <f t="shared" si="4"/>
        <v>-4000</v>
      </c>
      <c r="C146" s="70">
        <v>145</v>
      </c>
      <c r="E146" s="66">
        <v>4000</v>
      </c>
      <c r="F146" s="85">
        <v>45337</v>
      </c>
      <c r="G146" s="64" t="s">
        <v>115</v>
      </c>
      <c r="H146"/>
      <c r="I146"/>
    </row>
    <row r="147" spans="1:9" x14ac:dyDescent="0.35">
      <c r="A147" s="71">
        <f t="shared" si="5"/>
        <v>99941.599999999977</v>
      </c>
      <c r="B147" s="72">
        <f t="shared" si="4"/>
        <v>0</v>
      </c>
      <c r="C147" s="70">
        <v>146</v>
      </c>
      <c r="D147" s="65">
        <v>100</v>
      </c>
      <c r="E147" s="66">
        <v>100</v>
      </c>
      <c r="F147" s="85">
        <v>45337</v>
      </c>
      <c r="G147" s="64" t="s">
        <v>848</v>
      </c>
      <c r="H147"/>
      <c r="I147"/>
    </row>
    <row r="148" spans="1:9" x14ac:dyDescent="0.35">
      <c r="A148" s="71">
        <f t="shared" si="5"/>
        <v>100261.59999999998</v>
      </c>
      <c r="B148" s="72">
        <f t="shared" si="4"/>
        <v>320</v>
      </c>
      <c r="C148" s="70">
        <v>147</v>
      </c>
      <c r="D148" s="65">
        <v>380</v>
      </c>
      <c r="E148" s="66">
        <v>60</v>
      </c>
      <c r="F148" s="85">
        <v>45337</v>
      </c>
      <c r="G148" s="64" t="s">
        <v>44</v>
      </c>
      <c r="H148"/>
      <c r="I148"/>
    </row>
    <row r="149" spans="1:9" x14ac:dyDescent="0.35">
      <c r="A149" s="71">
        <f t="shared" si="5"/>
        <v>100196.59999999998</v>
      </c>
      <c r="B149" s="72">
        <f t="shared" si="4"/>
        <v>-65</v>
      </c>
      <c r="C149" s="70">
        <v>148</v>
      </c>
      <c r="E149" s="66">
        <v>65</v>
      </c>
      <c r="F149" s="85">
        <v>45337</v>
      </c>
      <c r="G149" s="64" t="s">
        <v>36</v>
      </c>
      <c r="H149"/>
      <c r="I149"/>
    </row>
    <row r="150" spans="1:9" x14ac:dyDescent="0.35">
      <c r="A150" s="71">
        <f t="shared" si="5"/>
        <v>93696.599999999977</v>
      </c>
      <c r="B150" s="72">
        <f t="shared" si="4"/>
        <v>-6500</v>
      </c>
      <c r="C150" s="70">
        <v>149</v>
      </c>
      <c r="E150" s="66">
        <v>6500</v>
      </c>
      <c r="F150" s="85">
        <v>45339</v>
      </c>
      <c r="G150" s="64" t="s">
        <v>116</v>
      </c>
      <c r="H150"/>
      <c r="I150"/>
    </row>
    <row r="151" spans="1:9" x14ac:dyDescent="0.35">
      <c r="A151" s="71">
        <f t="shared" si="5"/>
        <v>98556.599999999977</v>
      </c>
      <c r="B151" s="72">
        <f t="shared" si="4"/>
        <v>4860</v>
      </c>
      <c r="C151" s="70">
        <v>150</v>
      </c>
      <c r="D151" s="65">
        <v>4960</v>
      </c>
      <c r="E151" s="66">
        <v>100</v>
      </c>
      <c r="F151" s="85">
        <v>45339</v>
      </c>
      <c r="G151" s="64" t="s">
        <v>117</v>
      </c>
      <c r="H151"/>
      <c r="I151"/>
    </row>
    <row r="152" spans="1:9" x14ac:dyDescent="0.35">
      <c r="A152" s="71">
        <f t="shared" si="5"/>
        <v>98496.599999999977</v>
      </c>
      <c r="B152" s="72">
        <f t="shared" si="4"/>
        <v>-60</v>
      </c>
      <c r="C152" s="70">
        <v>151</v>
      </c>
      <c r="E152" s="66">
        <v>60</v>
      </c>
      <c r="F152" s="85">
        <v>45339</v>
      </c>
      <c r="G152" s="64" t="s">
        <v>118</v>
      </c>
      <c r="H152"/>
      <c r="I152"/>
    </row>
    <row r="153" spans="1:9" x14ac:dyDescent="0.35">
      <c r="A153" s="71">
        <f t="shared" si="5"/>
        <v>98331.599999999977</v>
      </c>
      <c r="B153" s="72">
        <f t="shared" si="4"/>
        <v>-165</v>
      </c>
      <c r="C153" s="70">
        <v>152</v>
      </c>
      <c r="E153" s="66">
        <v>165</v>
      </c>
      <c r="F153" s="85">
        <v>45339</v>
      </c>
      <c r="G153" s="64" t="s">
        <v>50</v>
      </c>
      <c r="H153"/>
      <c r="I153"/>
    </row>
    <row r="154" spans="1:9" x14ac:dyDescent="0.35">
      <c r="A154" s="71">
        <f t="shared" si="5"/>
        <v>87531.599999999977</v>
      </c>
      <c r="B154" s="72">
        <f t="shared" si="4"/>
        <v>-10800</v>
      </c>
      <c r="C154" s="70">
        <v>153</v>
      </c>
      <c r="E154" s="66">
        <v>10800</v>
      </c>
      <c r="F154" s="85">
        <v>45339</v>
      </c>
      <c r="G154" s="64" t="s">
        <v>119</v>
      </c>
      <c r="H154"/>
      <c r="I154"/>
    </row>
    <row r="155" spans="1:9" x14ac:dyDescent="0.35">
      <c r="A155" s="71">
        <f t="shared" si="5"/>
        <v>87031.599999999977</v>
      </c>
      <c r="B155" s="72">
        <f t="shared" si="4"/>
        <v>-500</v>
      </c>
      <c r="C155" s="70">
        <v>154</v>
      </c>
      <c r="E155" s="66">
        <v>500</v>
      </c>
      <c r="F155" s="85">
        <v>45340</v>
      </c>
      <c r="G155" s="64" t="s">
        <v>121</v>
      </c>
      <c r="H155"/>
      <c r="I155"/>
    </row>
    <row r="156" spans="1:9" x14ac:dyDescent="0.35">
      <c r="A156" s="71">
        <f t="shared" si="5"/>
        <v>100421.59999999998</v>
      </c>
      <c r="B156" s="72">
        <f t="shared" si="4"/>
        <v>13390</v>
      </c>
      <c r="C156" s="70">
        <v>155</v>
      </c>
      <c r="D156" s="65">
        <v>13390</v>
      </c>
      <c r="F156" s="85">
        <v>45340</v>
      </c>
      <c r="H156"/>
      <c r="I156"/>
    </row>
    <row r="157" spans="1:9" x14ac:dyDescent="0.35">
      <c r="A157" s="71">
        <f t="shared" si="5"/>
        <v>100401.59999999998</v>
      </c>
      <c r="B157" s="72">
        <f t="shared" si="4"/>
        <v>-20</v>
      </c>
      <c r="C157" s="70">
        <v>156</v>
      </c>
      <c r="E157" s="66">
        <v>20</v>
      </c>
      <c r="F157" s="85">
        <v>45340</v>
      </c>
      <c r="G157" s="64" t="s">
        <v>53</v>
      </c>
      <c r="H157"/>
      <c r="I157"/>
    </row>
    <row r="158" spans="1:9" x14ac:dyDescent="0.35">
      <c r="A158" s="71">
        <f t="shared" si="5"/>
        <v>100268.59999999998</v>
      </c>
      <c r="B158" s="72">
        <f t="shared" si="4"/>
        <v>-133</v>
      </c>
      <c r="C158" s="70">
        <v>157</v>
      </c>
      <c r="E158" s="66">
        <v>133</v>
      </c>
      <c r="F158" s="85">
        <v>45340</v>
      </c>
      <c r="G158" s="64" t="s">
        <v>65</v>
      </c>
      <c r="H158"/>
      <c r="I158"/>
    </row>
    <row r="159" spans="1:9" x14ac:dyDescent="0.35">
      <c r="A159" s="71">
        <f t="shared" si="5"/>
        <v>100148.59999999998</v>
      </c>
      <c r="B159" s="72">
        <f t="shared" si="4"/>
        <v>-120</v>
      </c>
      <c r="C159" s="70">
        <v>158</v>
      </c>
      <c r="E159" s="66">
        <v>120</v>
      </c>
      <c r="F159" s="85">
        <v>45340</v>
      </c>
      <c r="G159" s="64" t="s">
        <v>122</v>
      </c>
      <c r="H159"/>
      <c r="I159"/>
    </row>
    <row r="160" spans="1:9" x14ac:dyDescent="0.35">
      <c r="A160" s="71">
        <f t="shared" si="5"/>
        <v>100148.59999999998</v>
      </c>
      <c r="B160" s="72">
        <f t="shared" si="4"/>
        <v>0</v>
      </c>
      <c r="C160" s="70">
        <v>159</v>
      </c>
      <c r="D160" s="65">
        <v>200</v>
      </c>
      <c r="E160" s="66">
        <v>200</v>
      </c>
      <c r="F160" s="85">
        <v>45340</v>
      </c>
      <c r="G160" s="64" t="s">
        <v>848</v>
      </c>
      <c r="H160"/>
      <c r="I160"/>
    </row>
    <row r="161" spans="1:9" x14ac:dyDescent="0.35">
      <c r="A161" s="71">
        <f t="shared" si="5"/>
        <v>94548.599999999977</v>
      </c>
      <c r="B161" s="72">
        <f t="shared" si="4"/>
        <v>-5600</v>
      </c>
      <c r="C161" s="70">
        <v>160</v>
      </c>
      <c r="E161" s="66">
        <v>5600</v>
      </c>
      <c r="F161" s="85">
        <v>45341</v>
      </c>
      <c r="G161" s="64" t="s">
        <v>123</v>
      </c>
      <c r="H161"/>
      <c r="I161"/>
    </row>
    <row r="162" spans="1:9" x14ac:dyDescent="0.35">
      <c r="A162" s="71">
        <f t="shared" si="5"/>
        <v>84548.599999999977</v>
      </c>
      <c r="B162" s="72">
        <f t="shared" si="4"/>
        <v>-10000</v>
      </c>
      <c r="C162" s="70">
        <v>161</v>
      </c>
      <c r="E162" s="66">
        <v>10000</v>
      </c>
      <c r="F162" s="85">
        <v>45341</v>
      </c>
      <c r="G162" s="64" t="s">
        <v>124</v>
      </c>
      <c r="H162"/>
      <c r="I162"/>
    </row>
    <row r="163" spans="1:9" x14ac:dyDescent="0.35">
      <c r="A163" s="71">
        <f t="shared" si="5"/>
        <v>86223.599999999977</v>
      </c>
      <c r="B163" s="72">
        <f t="shared" si="4"/>
        <v>1675</v>
      </c>
      <c r="C163" s="70">
        <v>162</v>
      </c>
      <c r="D163" s="65">
        <v>1735</v>
      </c>
      <c r="E163" s="66">
        <v>60</v>
      </c>
      <c r="F163" s="85">
        <v>45341</v>
      </c>
      <c r="G163" s="64" t="s">
        <v>125</v>
      </c>
      <c r="H163"/>
      <c r="I163"/>
    </row>
    <row r="164" spans="1:9" x14ac:dyDescent="0.35">
      <c r="A164" s="71">
        <f t="shared" si="5"/>
        <v>85223.599999999977</v>
      </c>
      <c r="B164" s="72">
        <f t="shared" si="4"/>
        <v>-1000</v>
      </c>
      <c r="C164" s="70">
        <v>163</v>
      </c>
      <c r="E164" s="66">
        <v>1000</v>
      </c>
      <c r="F164" s="85">
        <v>45342</v>
      </c>
      <c r="G164" s="64" t="s">
        <v>126</v>
      </c>
      <c r="H164"/>
      <c r="I164"/>
    </row>
    <row r="165" spans="1:9" x14ac:dyDescent="0.35">
      <c r="A165" s="71">
        <f t="shared" si="5"/>
        <v>114518.59999999998</v>
      </c>
      <c r="B165" s="72">
        <f t="shared" si="4"/>
        <v>29295</v>
      </c>
      <c r="C165" s="70">
        <v>164</v>
      </c>
      <c r="D165" s="65">
        <v>29355</v>
      </c>
      <c r="E165" s="66">
        <v>60</v>
      </c>
      <c r="F165" s="85">
        <v>45342</v>
      </c>
      <c r="G165" s="64" t="s">
        <v>80</v>
      </c>
      <c r="H165"/>
      <c r="I165"/>
    </row>
    <row r="166" spans="1:9" x14ac:dyDescent="0.35">
      <c r="A166" s="71">
        <f t="shared" si="5"/>
        <v>124438.59999999998</v>
      </c>
      <c r="B166" s="72">
        <f t="shared" si="4"/>
        <v>9920</v>
      </c>
      <c r="C166" s="70">
        <v>165</v>
      </c>
      <c r="D166" s="65">
        <v>9980</v>
      </c>
      <c r="E166" s="66">
        <v>60</v>
      </c>
      <c r="F166" s="85">
        <v>45343</v>
      </c>
      <c r="G166" s="64" t="s">
        <v>127</v>
      </c>
      <c r="H166"/>
      <c r="I166"/>
    </row>
    <row r="167" spans="1:9" x14ac:dyDescent="0.35">
      <c r="A167" s="71">
        <f t="shared" si="5"/>
        <v>124426.59999999998</v>
      </c>
      <c r="B167" s="72">
        <f t="shared" si="4"/>
        <v>-12</v>
      </c>
      <c r="C167" s="70">
        <v>166</v>
      </c>
      <c r="E167" s="66">
        <v>12</v>
      </c>
      <c r="F167" s="85">
        <v>45343</v>
      </c>
      <c r="G167" s="64" t="s">
        <v>128</v>
      </c>
      <c r="H167"/>
      <c r="I167"/>
    </row>
    <row r="168" spans="1:9" x14ac:dyDescent="0.35">
      <c r="A168" s="71">
        <f t="shared" si="5"/>
        <v>125606.59999999998</v>
      </c>
      <c r="B168" s="72">
        <f t="shared" si="4"/>
        <v>1180</v>
      </c>
      <c r="C168" s="70">
        <v>167</v>
      </c>
      <c r="D168" s="65">
        <v>1300</v>
      </c>
      <c r="E168" s="66">
        <v>120</v>
      </c>
      <c r="F168" s="85">
        <v>45344</v>
      </c>
      <c r="G168" s="64" t="s">
        <v>129</v>
      </c>
      <c r="H168"/>
      <c r="I168"/>
    </row>
    <row r="169" spans="1:9" x14ac:dyDescent="0.35">
      <c r="A169" s="71">
        <f t="shared" si="5"/>
        <v>125546.59999999998</v>
      </c>
      <c r="B169" s="72">
        <f t="shared" si="4"/>
        <v>-60</v>
      </c>
      <c r="C169" s="70">
        <v>168</v>
      </c>
      <c r="E169" s="66">
        <v>60</v>
      </c>
      <c r="F169" s="85">
        <v>45344</v>
      </c>
      <c r="G169" s="64" t="s">
        <v>130</v>
      </c>
      <c r="H169"/>
      <c r="I169"/>
    </row>
    <row r="170" spans="1:9" x14ac:dyDescent="0.35">
      <c r="A170" s="71">
        <f t="shared" si="5"/>
        <v>125426.59999999998</v>
      </c>
      <c r="B170" s="72">
        <f t="shared" si="4"/>
        <v>-120</v>
      </c>
      <c r="C170" s="70">
        <v>169</v>
      </c>
      <c r="E170" s="66">
        <v>120</v>
      </c>
      <c r="F170" s="85">
        <v>45344</v>
      </c>
      <c r="G170" s="64" t="s">
        <v>131</v>
      </c>
      <c r="H170"/>
      <c r="I170"/>
    </row>
    <row r="171" spans="1:9" x14ac:dyDescent="0.35">
      <c r="A171" s="71">
        <f t="shared" si="5"/>
        <v>121496.59999999998</v>
      </c>
      <c r="B171" s="72">
        <f t="shared" si="4"/>
        <v>-3930</v>
      </c>
      <c r="C171" s="70">
        <v>170</v>
      </c>
      <c r="E171" s="66">
        <v>3930</v>
      </c>
      <c r="F171" s="85">
        <v>45344</v>
      </c>
      <c r="G171" s="64" t="s">
        <v>132</v>
      </c>
      <c r="H171"/>
      <c r="I171"/>
    </row>
    <row r="172" spans="1:9" x14ac:dyDescent="0.35">
      <c r="A172" s="71">
        <f t="shared" si="5"/>
        <v>121476.59999999998</v>
      </c>
      <c r="B172" s="72">
        <f t="shared" si="4"/>
        <v>-20</v>
      </c>
      <c r="C172" s="70">
        <v>171</v>
      </c>
      <c r="E172" s="66">
        <v>20</v>
      </c>
      <c r="F172" s="85">
        <v>45344</v>
      </c>
      <c r="G172" s="64" t="s">
        <v>133</v>
      </c>
      <c r="H172"/>
      <c r="I172"/>
    </row>
    <row r="173" spans="1:9" x14ac:dyDescent="0.35">
      <c r="A173" s="71">
        <f t="shared" si="5"/>
        <v>121456.59999999998</v>
      </c>
      <c r="B173" s="72">
        <f t="shared" si="4"/>
        <v>-20</v>
      </c>
      <c r="C173" s="70">
        <v>172</v>
      </c>
      <c r="E173" s="66">
        <v>20</v>
      </c>
      <c r="F173" s="85">
        <v>45346</v>
      </c>
      <c r="G173" s="64" t="s">
        <v>133</v>
      </c>
      <c r="H173"/>
      <c r="I173"/>
    </row>
    <row r="174" spans="1:9" x14ac:dyDescent="0.35">
      <c r="A174" s="71">
        <f t="shared" si="5"/>
        <v>127171.59999999998</v>
      </c>
      <c r="B174" s="72">
        <f t="shared" si="4"/>
        <v>5715</v>
      </c>
      <c r="C174" s="70">
        <v>173</v>
      </c>
      <c r="D174" s="65">
        <v>5715</v>
      </c>
      <c r="F174" s="85">
        <v>45346</v>
      </c>
      <c r="G174" s="64" t="s">
        <v>12</v>
      </c>
      <c r="H174"/>
      <c r="I174"/>
    </row>
    <row r="175" spans="1:9" x14ac:dyDescent="0.35">
      <c r="A175" s="71">
        <f t="shared" si="5"/>
        <v>127061.59999999998</v>
      </c>
      <c r="B175" s="72">
        <f t="shared" si="4"/>
        <v>-110</v>
      </c>
      <c r="C175" s="70">
        <v>174</v>
      </c>
      <c r="E175" s="66">
        <v>110</v>
      </c>
      <c r="F175" s="85">
        <v>45346</v>
      </c>
      <c r="G175" s="64" t="s">
        <v>134</v>
      </c>
      <c r="H175"/>
      <c r="I175"/>
    </row>
    <row r="176" spans="1:9" x14ac:dyDescent="0.35">
      <c r="A176" s="71">
        <f t="shared" si="5"/>
        <v>126591.59999999998</v>
      </c>
      <c r="B176" s="72">
        <f t="shared" si="4"/>
        <v>-470</v>
      </c>
      <c r="C176" s="70">
        <v>175</v>
      </c>
      <c r="E176" s="66">
        <v>470</v>
      </c>
      <c r="F176" s="85">
        <v>45347</v>
      </c>
      <c r="G176" s="64" t="s">
        <v>120</v>
      </c>
      <c r="H176"/>
      <c r="I176"/>
    </row>
    <row r="177" spans="1:9" x14ac:dyDescent="0.35">
      <c r="A177" s="71">
        <f t="shared" si="5"/>
        <v>116591.59999999998</v>
      </c>
      <c r="B177" s="72">
        <f t="shared" si="4"/>
        <v>-10000</v>
      </c>
      <c r="C177" s="70">
        <v>176</v>
      </c>
      <c r="E177" s="66">
        <v>10000</v>
      </c>
      <c r="F177" s="85">
        <v>45347</v>
      </c>
      <c r="G177" s="64" t="s">
        <v>135</v>
      </c>
      <c r="H177"/>
      <c r="I177"/>
    </row>
    <row r="178" spans="1:9" x14ac:dyDescent="0.35">
      <c r="A178" s="71">
        <f t="shared" si="5"/>
        <v>135286.59999999998</v>
      </c>
      <c r="B178" s="72">
        <f t="shared" si="4"/>
        <v>18695</v>
      </c>
      <c r="C178" s="70">
        <v>177</v>
      </c>
      <c r="D178" s="65">
        <v>18755</v>
      </c>
      <c r="E178" s="66">
        <v>60</v>
      </c>
      <c r="F178" s="85">
        <v>45347</v>
      </c>
      <c r="G178" s="64" t="s">
        <v>136</v>
      </c>
      <c r="H178"/>
      <c r="I178"/>
    </row>
    <row r="179" spans="1:9" x14ac:dyDescent="0.35">
      <c r="A179" s="71">
        <f t="shared" si="5"/>
        <v>135286.59999999998</v>
      </c>
      <c r="B179" s="72">
        <f t="shared" si="4"/>
        <v>0</v>
      </c>
      <c r="C179" s="70">
        <v>178</v>
      </c>
      <c r="D179" s="65">
        <v>1500</v>
      </c>
      <c r="E179" s="66">
        <v>1500</v>
      </c>
      <c r="F179" s="85">
        <v>45348</v>
      </c>
      <c r="G179" s="64" t="s">
        <v>1121</v>
      </c>
      <c r="H179"/>
      <c r="I179"/>
    </row>
    <row r="180" spans="1:9" x14ac:dyDescent="0.35">
      <c r="A180" s="71">
        <f t="shared" si="5"/>
        <v>140876.59999999998</v>
      </c>
      <c r="B180" s="72">
        <f t="shared" si="4"/>
        <v>5590</v>
      </c>
      <c r="C180" s="70">
        <v>179</v>
      </c>
      <c r="D180" s="65">
        <v>6730</v>
      </c>
      <c r="E180" s="66">
        <v>1140</v>
      </c>
      <c r="F180" s="85">
        <v>45348</v>
      </c>
      <c r="G180" s="64" t="s">
        <v>425</v>
      </c>
      <c r="H180"/>
      <c r="I180"/>
    </row>
    <row r="181" spans="1:9" x14ac:dyDescent="0.35">
      <c r="A181" s="71">
        <f t="shared" si="5"/>
        <v>140756.59999999998</v>
      </c>
      <c r="B181" s="72">
        <f t="shared" si="4"/>
        <v>-120</v>
      </c>
      <c r="C181" s="70">
        <v>180</v>
      </c>
      <c r="E181" s="66">
        <v>120</v>
      </c>
      <c r="F181" s="85">
        <v>45348</v>
      </c>
      <c r="G181" s="64" t="s">
        <v>137</v>
      </c>
      <c r="H181"/>
      <c r="I181"/>
    </row>
    <row r="182" spans="1:9" x14ac:dyDescent="0.35">
      <c r="A182" s="71">
        <f t="shared" si="5"/>
        <v>140744.59999999998</v>
      </c>
      <c r="B182" s="72">
        <f t="shared" si="4"/>
        <v>-12</v>
      </c>
      <c r="C182" s="70">
        <v>181</v>
      </c>
      <c r="E182" s="66">
        <v>12</v>
      </c>
      <c r="F182" s="85">
        <v>45348</v>
      </c>
      <c r="G182" s="64" t="s">
        <v>12</v>
      </c>
      <c r="H182"/>
      <c r="I182"/>
    </row>
    <row r="183" spans="1:9" x14ac:dyDescent="0.35">
      <c r="A183" s="71">
        <f t="shared" si="5"/>
        <v>140708.59999999998</v>
      </c>
      <c r="B183" s="72">
        <f t="shared" si="4"/>
        <v>-36</v>
      </c>
      <c r="C183" s="70">
        <v>182</v>
      </c>
      <c r="E183" s="66">
        <v>36</v>
      </c>
      <c r="F183" s="85">
        <v>45349</v>
      </c>
      <c r="G183" s="64" t="s">
        <v>138</v>
      </c>
      <c r="H183"/>
      <c r="I183"/>
    </row>
    <row r="184" spans="1:9" x14ac:dyDescent="0.35">
      <c r="A184" s="71">
        <f t="shared" si="5"/>
        <v>140685.59999999998</v>
      </c>
      <c r="B184" s="72">
        <f t="shared" si="4"/>
        <v>-23</v>
      </c>
      <c r="C184" s="70">
        <v>183</v>
      </c>
      <c r="E184" s="66">
        <v>23</v>
      </c>
      <c r="F184" s="85">
        <v>45349</v>
      </c>
      <c r="G184" s="64" t="s">
        <v>139</v>
      </c>
      <c r="H184"/>
      <c r="I184"/>
    </row>
    <row r="185" spans="1:9" x14ac:dyDescent="0.35">
      <c r="A185" s="71">
        <f t="shared" si="5"/>
        <v>142065.59999999998</v>
      </c>
      <c r="B185" s="72">
        <f t="shared" si="4"/>
        <v>1380</v>
      </c>
      <c r="C185" s="70">
        <v>184</v>
      </c>
      <c r="D185" s="65">
        <v>1440</v>
      </c>
      <c r="E185" s="66">
        <v>60</v>
      </c>
      <c r="F185" s="85">
        <v>45349</v>
      </c>
      <c r="G185" s="64" t="s">
        <v>140</v>
      </c>
      <c r="H185"/>
      <c r="I185"/>
    </row>
    <row r="186" spans="1:9" x14ac:dyDescent="0.35">
      <c r="A186" s="71">
        <f t="shared" si="5"/>
        <v>142005.59999999998</v>
      </c>
      <c r="B186" s="72">
        <f t="shared" si="4"/>
        <v>-60</v>
      </c>
      <c r="C186" s="70">
        <v>185</v>
      </c>
      <c r="E186" s="66">
        <v>60</v>
      </c>
      <c r="F186" s="85">
        <v>45349</v>
      </c>
      <c r="G186" s="64" t="s">
        <v>58</v>
      </c>
      <c r="H186"/>
      <c r="I186"/>
    </row>
    <row r="187" spans="1:9" x14ac:dyDescent="0.35">
      <c r="A187" s="71">
        <f t="shared" si="5"/>
        <v>151785.59999999998</v>
      </c>
      <c r="B187" s="72">
        <f t="shared" si="4"/>
        <v>9780</v>
      </c>
      <c r="C187" s="70">
        <v>186</v>
      </c>
      <c r="D187" s="65">
        <v>9970</v>
      </c>
      <c r="E187" s="66">
        <v>190</v>
      </c>
      <c r="F187" s="85">
        <v>45350</v>
      </c>
      <c r="G187" s="64" t="s">
        <v>141</v>
      </c>
      <c r="H187"/>
      <c r="I187"/>
    </row>
    <row r="188" spans="1:9" x14ac:dyDescent="0.35">
      <c r="A188" s="71">
        <f t="shared" si="5"/>
        <v>154205.59999999998</v>
      </c>
      <c r="B188" s="72">
        <f t="shared" si="4"/>
        <v>2420</v>
      </c>
      <c r="C188" s="70">
        <v>187</v>
      </c>
      <c r="D188" s="65">
        <v>2510</v>
      </c>
      <c r="E188" s="66">
        <v>90</v>
      </c>
      <c r="F188" s="85">
        <v>45351</v>
      </c>
      <c r="G188" s="64" t="s">
        <v>0</v>
      </c>
      <c r="H188"/>
      <c r="I188"/>
    </row>
    <row r="189" spans="1:9" x14ac:dyDescent="0.35">
      <c r="A189" s="71">
        <f t="shared" si="5"/>
        <v>154145.59999999998</v>
      </c>
      <c r="B189" s="72">
        <f t="shared" si="4"/>
        <v>-60</v>
      </c>
      <c r="C189" s="70">
        <v>188</v>
      </c>
      <c r="E189" s="66">
        <v>60</v>
      </c>
      <c r="F189" s="85">
        <v>45351</v>
      </c>
      <c r="G189" s="64" t="s">
        <v>62</v>
      </c>
      <c r="H189"/>
      <c r="I189"/>
    </row>
    <row r="190" spans="1:9" x14ac:dyDescent="0.35">
      <c r="A190" s="71">
        <f t="shared" si="5"/>
        <v>154085.59999999998</v>
      </c>
      <c r="B190" s="72">
        <f t="shared" si="4"/>
        <v>-60</v>
      </c>
      <c r="C190" s="70">
        <v>189</v>
      </c>
      <c r="E190" s="66">
        <v>60</v>
      </c>
      <c r="F190" s="85">
        <v>45351</v>
      </c>
      <c r="G190" s="64" t="s">
        <v>142</v>
      </c>
      <c r="H190"/>
      <c r="I190"/>
    </row>
    <row r="191" spans="1:9" x14ac:dyDescent="0.35">
      <c r="A191" s="71">
        <f t="shared" si="5"/>
        <v>155225.59999999998</v>
      </c>
      <c r="B191" s="72">
        <f t="shared" si="4"/>
        <v>1140</v>
      </c>
      <c r="C191" s="70">
        <v>190</v>
      </c>
      <c r="D191" s="65">
        <v>1140</v>
      </c>
      <c r="F191" s="85">
        <v>45351</v>
      </c>
      <c r="G191" s="64" t="s">
        <v>320</v>
      </c>
      <c r="H191"/>
      <c r="I191"/>
    </row>
    <row r="192" spans="1:9" x14ac:dyDescent="0.35">
      <c r="A192" s="71">
        <f t="shared" si="5"/>
        <v>154225.59999999998</v>
      </c>
      <c r="B192" s="72">
        <f t="shared" si="4"/>
        <v>-1000</v>
      </c>
      <c r="C192" s="70">
        <v>191</v>
      </c>
      <c r="E192" s="66">
        <v>1000</v>
      </c>
      <c r="F192" s="85">
        <v>45353</v>
      </c>
      <c r="G192" s="64" t="s">
        <v>87</v>
      </c>
      <c r="H192"/>
      <c r="I192"/>
    </row>
    <row r="193" spans="1:9" x14ac:dyDescent="0.35">
      <c r="A193" s="71">
        <f t="shared" si="5"/>
        <v>134225.59999999998</v>
      </c>
      <c r="B193" s="72">
        <f t="shared" si="4"/>
        <v>-20000</v>
      </c>
      <c r="C193" s="70">
        <v>192</v>
      </c>
      <c r="E193" s="66">
        <v>20000</v>
      </c>
      <c r="F193" s="85">
        <v>45353</v>
      </c>
      <c r="G193" s="64" t="s">
        <v>143</v>
      </c>
      <c r="H193"/>
      <c r="I193"/>
    </row>
    <row r="194" spans="1:9" x14ac:dyDescent="0.35">
      <c r="A194" s="71">
        <f t="shared" si="5"/>
        <v>147225.59999999998</v>
      </c>
      <c r="B194" s="72">
        <f t="shared" si="4"/>
        <v>13000</v>
      </c>
      <c r="C194" s="70">
        <v>193</v>
      </c>
      <c r="D194" s="65">
        <v>13000</v>
      </c>
      <c r="F194" s="85">
        <v>45353</v>
      </c>
      <c r="G194" s="64" t="s">
        <v>144</v>
      </c>
      <c r="H194"/>
      <c r="I194"/>
    </row>
    <row r="195" spans="1:9" x14ac:dyDescent="0.35">
      <c r="A195" s="71">
        <f t="shared" si="5"/>
        <v>128100.59999999998</v>
      </c>
      <c r="B195" s="72">
        <f t="shared" ref="B195:B258" si="6">SUM(D195-E195)</f>
        <v>-19125</v>
      </c>
      <c r="C195" s="70">
        <v>194</v>
      </c>
      <c r="E195" s="66">
        <v>19125</v>
      </c>
      <c r="F195" s="85">
        <v>45353</v>
      </c>
      <c r="G195" s="64" t="s">
        <v>145</v>
      </c>
      <c r="H195"/>
      <c r="I195"/>
    </row>
    <row r="196" spans="1:9" x14ac:dyDescent="0.35">
      <c r="A196" s="71">
        <f t="shared" ref="A196:A259" si="7">SUM(A195+B196)</f>
        <v>113100.59999999998</v>
      </c>
      <c r="B196" s="72">
        <f t="shared" si="6"/>
        <v>-15000</v>
      </c>
      <c r="C196" s="70">
        <v>195</v>
      </c>
      <c r="E196" s="66">
        <v>15000</v>
      </c>
      <c r="F196" s="85">
        <v>45353</v>
      </c>
      <c r="G196" s="64" t="s">
        <v>202</v>
      </c>
      <c r="H196"/>
      <c r="I196"/>
    </row>
    <row r="197" spans="1:9" x14ac:dyDescent="0.35">
      <c r="A197" s="71">
        <f t="shared" si="7"/>
        <v>95445.599999999977</v>
      </c>
      <c r="B197" s="72">
        <f t="shared" si="6"/>
        <v>-17655</v>
      </c>
      <c r="C197" s="70">
        <v>196</v>
      </c>
      <c r="E197" s="66">
        <v>17655</v>
      </c>
      <c r="F197" s="85">
        <v>45353</v>
      </c>
      <c r="G197" s="64" t="s">
        <v>146</v>
      </c>
      <c r="H197"/>
      <c r="I197"/>
    </row>
    <row r="198" spans="1:9" x14ac:dyDescent="0.35">
      <c r="A198" s="71">
        <f t="shared" si="7"/>
        <v>98220.599999999977</v>
      </c>
      <c r="B198" s="72">
        <f t="shared" si="6"/>
        <v>2775</v>
      </c>
      <c r="C198" s="70">
        <v>197</v>
      </c>
      <c r="D198" s="65">
        <v>2775</v>
      </c>
      <c r="F198" s="85">
        <v>45353</v>
      </c>
      <c r="G198" s="64" t="s">
        <v>12</v>
      </c>
      <c r="H198"/>
      <c r="I198"/>
    </row>
    <row r="199" spans="1:9" x14ac:dyDescent="0.35">
      <c r="A199" s="71">
        <f t="shared" si="7"/>
        <v>74020.599999999977</v>
      </c>
      <c r="B199" s="72">
        <f t="shared" si="6"/>
        <v>-24200</v>
      </c>
      <c r="C199" s="70">
        <v>198</v>
      </c>
      <c r="E199" s="66">
        <v>24200</v>
      </c>
      <c r="F199" s="85">
        <v>45354</v>
      </c>
      <c r="G199" s="64" t="s">
        <v>15</v>
      </c>
      <c r="H199"/>
      <c r="I199"/>
    </row>
    <row r="200" spans="1:9" x14ac:dyDescent="0.35">
      <c r="A200" s="71">
        <f t="shared" si="7"/>
        <v>93490.599999999977</v>
      </c>
      <c r="B200" s="72">
        <f t="shared" si="6"/>
        <v>19470</v>
      </c>
      <c r="C200" s="70">
        <v>199</v>
      </c>
      <c r="D200" s="65">
        <v>19470</v>
      </c>
      <c r="F200" s="85">
        <v>45354</v>
      </c>
      <c r="G200" s="64" t="s">
        <v>147</v>
      </c>
      <c r="H200"/>
      <c r="I200"/>
    </row>
    <row r="201" spans="1:9" x14ac:dyDescent="0.35">
      <c r="A201" s="71">
        <f t="shared" si="7"/>
        <v>93470.599999999977</v>
      </c>
      <c r="B201" s="72">
        <f t="shared" si="6"/>
        <v>-20</v>
      </c>
      <c r="C201" s="70">
        <v>200</v>
      </c>
      <c r="E201" s="66">
        <v>20</v>
      </c>
      <c r="F201" s="85">
        <v>45354</v>
      </c>
      <c r="G201" s="64" t="s">
        <v>148</v>
      </c>
      <c r="H201"/>
      <c r="I201"/>
    </row>
    <row r="202" spans="1:9" x14ac:dyDescent="0.35">
      <c r="A202" s="71">
        <f t="shared" si="7"/>
        <v>93360.599999999977</v>
      </c>
      <c r="B202" s="72">
        <f t="shared" si="6"/>
        <v>-110</v>
      </c>
      <c r="C202" s="70">
        <v>201</v>
      </c>
      <c r="E202" s="66">
        <v>110</v>
      </c>
      <c r="F202" s="85">
        <v>45354</v>
      </c>
      <c r="G202" s="64" t="s">
        <v>149</v>
      </c>
      <c r="H202"/>
      <c r="I202"/>
    </row>
    <row r="203" spans="1:9" x14ac:dyDescent="0.35">
      <c r="A203" s="71">
        <f t="shared" si="7"/>
        <v>93250.599999999977</v>
      </c>
      <c r="B203" s="72">
        <f t="shared" si="6"/>
        <v>-110</v>
      </c>
      <c r="C203" s="70">
        <v>202</v>
      </c>
      <c r="E203" s="66">
        <v>110</v>
      </c>
      <c r="F203" s="85">
        <v>45354</v>
      </c>
      <c r="G203" s="64" t="s">
        <v>64</v>
      </c>
      <c r="H203"/>
      <c r="I203"/>
    </row>
    <row r="204" spans="1:9" x14ac:dyDescent="0.35">
      <c r="A204" s="71">
        <f t="shared" si="7"/>
        <v>99565.599999999977</v>
      </c>
      <c r="B204" s="72">
        <f t="shared" si="6"/>
        <v>6315</v>
      </c>
      <c r="C204" s="70">
        <v>203</v>
      </c>
      <c r="D204" s="65">
        <v>6915</v>
      </c>
      <c r="E204" s="66">
        <v>600</v>
      </c>
      <c r="F204" s="85">
        <v>45355</v>
      </c>
      <c r="G204" s="64" t="s">
        <v>150</v>
      </c>
      <c r="H204"/>
      <c r="I204"/>
    </row>
    <row r="205" spans="1:9" x14ac:dyDescent="0.35">
      <c r="A205" s="71">
        <f t="shared" si="7"/>
        <v>99505.599999999977</v>
      </c>
      <c r="B205" s="72">
        <f t="shared" si="6"/>
        <v>-60</v>
      </c>
      <c r="C205" s="70">
        <v>204</v>
      </c>
      <c r="E205" s="66">
        <v>60</v>
      </c>
      <c r="F205" s="85">
        <v>45355</v>
      </c>
      <c r="G205" s="64" t="s">
        <v>30</v>
      </c>
      <c r="H205"/>
      <c r="I205"/>
    </row>
    <row r="206" spans="1:9" x14ac:dyDescent="0.35">
      <c r="A206" s="71">
        <f t="shared" si="7"/>
        <v>99445.599999999977</v>
      </c>
      <c r="B206" s="72">
        <f t="shared" si="6"/>
        <v>-60</v>
      </c>
      <c r="C206" s="70">
        <v>205</v>
      </c>
      <c r="E206" s="66">
        <v>60</v>
      </c>
      <c r="F206" s="85">
        <v>45356</v>
      </c>
      <c r="G206" s="64" t="s">
        <v>151</v>
      </c>
      <c r="H206"/>
      <c r="I206"/>
    </row>
    <row r="207" spans="1:9" x14ac:dyDescent="0.35">
      <c r="A207" s="71">
        <f t="shared" si="7"/>
        <v>81945.599999999977</v>
      </c>
      <c r="B207" s="72">
        <f t="shared" si="6"/>
        <v>-17500</v>
      </c>
      <c r="C207" s="70">
        <v>206</v>
      </c>
      <c r="E207" s="66">
        <v>17500</v>
      </c>
      <c r="F207" s="85">
        <v>45356</v>
      </c>
      <c r="G207" s="64" t="s">
        <v>17</v>
      </c>
      <c r="H207"/>
      <c r="I207"/>
    </row>
    <row r="208" spans="1:9" x14ac:dyDescent="0.35">
      <c r="A208" s="71">
        <f t="shared" si="7"/>
        <v>81535.599999999977</v>
      </c>
      <c r="B208" s="72">
        <f t="shared" si="6"/>
        <v>-410</v>
      </c>
      <c r="C208" s="70">
        <v>207</v>
      </c>
      <c r="E208" s="66">
        <v>410</v>
      </c>
      <c r="F208" s="85">
        <v>45356</v>
      </c>
      <c r="G208" s="64" t="s">
        <v>94</v>
      </c>
      <c r="H208"/>
      <c r="I208"/>
    </row>
    <row r="209" spans="1:9" x14ac:dyDescent="0.35">
      <c r="A209" s="71">
        <f t="shared" si="7"/>
        <v>81325.599999999977</v>
      </c>
      <c r="B209" s="72">
        <f t="shared" si="6"/>
        <v>-210</v>
      </c>
      <c r="C209" s="70">
        <v>208</v>
      </c>
      <c r="E209" s="66">
        <v>210</v>
      </c>
      <c r="F209" s="85">
        <v>45356</v>
      </c>
      <c r="G209" s="64" t="s">
        <v>1</v>
      </c>
      <c r="H209"/>
      <c r="I209"/>
    </row>
    <row r="210" spans="1:9" x14ac:dyDescent="0.35">
      <c r="A210" s="71">
        <f t="shared" si="7"/>
        <v>79825.599999999977</v>
      </c>
      <c r="B210" s="72">
        <f t="shared" si="6"/>
        <v>-1500</v>
      </c>
      <c r="C210" s="70">
        <v>209</v>
      </c>
      <c r="E210" s="66">
        <v>1500</v>
      </c>
      <c r="F210" s="85">
        <v>45356</v>
      </c>
      <c r="G210" s="64" t="s">
        <v>152</v>
      </c>
      <c r="H210"/>
      <c r="I210"/>
    </row>
    <row r="211" spans="1:9" x14ac:dyDescent="0.35">
      <c r="A211" s="71">
        <f t="shared" si="7"/>
        <v>72525.599999999977</v>
      </c>
      <c r="B211" s="72">
        <f t="shared" si="6"/>
        <v>-7300</v>
      </c>
      <c r="C211" s="70">
        <v>210</v>
      </c>
      <c r="E211" s="66">
        <v>7300</v>
      </c>
      <c r="F211" s="85">
        <v>45356</v>
      </c>
      <c r="G211" s="64" t="s">
        <v>153</v>
      </c>
      <c r="H211"/>
      <c r="I211"/>
    </row>
    <row r="212" spans="1:9" x14ac:dyDescent="0.35">
      <c r="A212" s="71">
        <f t="shared" si="7"/>
        <v>102615.59999999998</v>
      </c>
      <c r="B212" s="72">
        <f t="shared" si="6"/>
        <v>30090</v>
      </c>
      <c r="C212" s="70">
        <v>211</v>
      </c>
      <c r="D212" s="65">
        <v>30150</v>
      </c>
      <c r="E212" s="66">
        <v>60</v>
      </c>
      <c r="F212" s="85">
        <v>45356</v>
      </c>
      <c r="G212" s="64" t="s">
        <v>39</v>
      </c>
      <c r="H212"/>
      <c r="I212"/>
    </row>
    <row r="213" spans="1:9" x14ac:dyDescent="0.35">
      <c r="A213" s="71">
        <f t="shared" si="7"/>
        <v>102555.59999999998</v>
      </c>
      <c r="B213" s="72">
        <f t="shared" si="6"/>
        <v>-60</v>
      </c>
      <c r="C213" s="70">
        <v>212</v>
      </c>
      <c r="E213" s="66">
        <v>60</v>
      </c>
      <c r="F213" s="85">
        <v>45356</v>
      </c>
      <c r="G213" s="64" t="s">
        <v>99</v>
      </c>
      <c r="H213"/>
      <c r="I213"/>
    </row>
    <row r="214" spans="1:9" x14ac:dyDescent="0.35">
      <c r="A214" s="71">
        <f t="shared" si="7"/>
        <v>102498.59999999998</v>
      </c>
      <c r="B214" s="72">
        <f t="shared" si="6"/>
        <v>-57</v>
      </c>
      <c r="C214" s="70">
        <v>213</v>
      </c>
      <c r="E214" s="66">
        <v>57</v>
      </c>
      <c r="F214" s="85">
        <v>45356</v>
      </c>
      <c r="G214" s="64" t="s">
        <v>154</v>
      </c>
      <c r="H214"/>
      <c r="I214"/>
    </row>
    <row r="215" spans="1:9" x14ac:dyDescent="0.35">
      <c r="A215" s="71">
        <f t="shared" si="7"/>
        <v>102298.59999999998</v>
      </c>
      <c r="B215" s="72">
        <f t="shared" si="6"/>
        <v>-200</v>
      </c>
      <c r="C215" s="70">
        <v>214</v>
      </c>
      <c r="E215" s="66">
        <v>200</v>
      </c>
      <c r="F215" s="85">
        <v>45356</v>
      </c>
      <c r="G215" s="64" t="s">
        <v>155</v>
      </c>
      <c r="H215"/>
      <c r="I215"/>
    </row>
    <row r="216" spans="1:9" x14ac:dyDescent="0.35">
      <c r="A216" s="71">
        <f t="shared" si="7"/>
        <v>102233.59999999998</v>
      </c>
      <c r="B216" s="72">
        <f t="shared" si="6"/>
        <v>-65</v>
      </c>
      <c r="C216" s="70">
        <v>215</v>
      </c>
      <c r="E216" s="66">
        <v>65</v>
      </c>
      <c r="F216" s="85">
        <v>45356</v>
      </c>
      <c r="G216" s="64" t="s">
        <v>36</v>
      </c>
      <c r="H216"/>
      <c r="I216"/>
    </row>
    <row r="217" spans="1:9" x14ac:dyDescent="0.35">
      <c r="A217" s="71">
        <f t="shared" si="7"/>
        <v>37972.599999999977</v>
      </c>
      <c r="B217" s="72">
        <f t="shared" si="6"/>
        <v>-64261</v>
      </c>
      <c r="C217" s="70">
        <v>216</v>
      </c>
      <c r="E217" s="66">
        <v>64261</v>
      </c>
      <c r="F217" s="85">
        <v>45356</v>
      </c>
      <c r="G217" s="64" t="s">
        <v>156</v>
      </c>
      <c r="H217"/>
      <c r="I217"/>
    </row>
    <row r="218" spans="1:9" x14ac:dyDescent="0.35">
      <c r="A218" s="71">
        <f t="shared" si="7"/>
        <v>52662.599999999977</v>
      </c>
      <c r="B218" s="72">
        <f t="shared" si="6"/>
        <v>14690</v>
      </c>
      <c r="C218" s="70">
        <v>217</v>
      </c>
      <c r="D218" s="65">
        <v>14750</v>
      </c>
      <c r="E218" s="66">
        <v>60</v>
      </c>
      <c r="F218" s="85">
        <v>45357</v>
      </c>
      <c r="G218" s="64" t="s">
        <v>100</v>
      </c>
      <c r="H218"/>
      <c r="I218"/>
    </row>
    <row r="219" spans="1:9" x14ac:dyDescent="0.35">
      <c r="A219" s="71">
        <f t="shared" si="7"/>
        <v>54650.599999999977</v>
      </c>
      <c r="B219" s="72">
        <f t="shared" si="6"/>
        <v>1988</v>
      </c>
      <c r="C219" s="70">
        <v>218</v>
      </c>
      <c r="D219" s="65">
        <v>2000</v>
      </c>
      <c r="E219" s="66">
        <v>12</v>
      </c>
      <c r="F219" s="85">
        <v>45358</v>
      </c>
      <c r="G219" s="64" t="s">
        <v>157</v>
      </c>
      <c r="H219"/>
      <c r="I219"/>
    </row>
    <row r="220" spans="1:9" x14ac:dyDescent="0.35">
      <c r="A220" s="71">
        <f t="shared" si="7"/>
        <v>54590.599999999977</v>
      </c>
      <c r="B220" s="72">
        <f t="shared" si="6"/>
        <v>-60</v>
      </c>
      <c r="C220" s="70">
        <v>219</v>
      </c>
      <c r="E220" s="66">
        <v>60</v>
      </c>
      <c r="F220" s="85">
        <v>45358</v>
      </c>
      <c r="G220" s="64" t="s">
        <v>25</v>
      </c>
      <c r="H220"/>
      <c r="I220"/>
    </row>
    <row r="221" spans="1:9" x14ac:dyDescent="0.35">
      <c r="A221" s="71">
        <f t="shared" si="7"/>
        <v>54390.599999999977</v>
      </c>
      <c r="B221" s="72">
        <f t="shared" si="6"/>
        <v>-200</v>
      </c>
      <c r="C221" s="70">
        <v>220</v>
      </c>
      <c r="E221" s="66">
        <v>200</v>
      </c>
      <c r="F221" s="85">
        <v>45360</v>
      </c>
      <c r="G221" s="64" t="s">
        <v>158</v>
      </c>
      <c r="H221"/>
      <c r="I221"/>
    </row>
    <row r="222" spans="1:9" x14ac:dyDescent="0.35">
      <c r="A222" s="71">
        <f t="shared" si="7"/>
        <v>59880.599999999977</v>
      </c>
      <c r="B222" s="72">
        <f t="shared" si="6"/>
        <v>5490</v>
      </c>
      <c r="C222" s="70">
        <v>221</v>
      </c>
      <c r="D222" s="65">
        <v>5550</v>
      </c>
      <c r="E222" s="66">
        <v>60</v>
      </c>
      <c r="F222" s="85">
        <v>45360</v>
      </c>
      <c r="G222" s="64" t="s">
        <v>31</v>
      </c>
      <c r="H222"/>
      <c r="I222"/>
    </row>
    <row r="223" spans="1:9" x14ac:dyDescent="0.35">
      <c r="A223" s="71">
        <f t="shared" si="7"/>
        <v>30445.599999999977</v>
      </c>
      <c r="B223" s="72">
        <f t="shared" si="6"/>
        <v>-29435</v>
      </c>
      <c r="C223" s="70">
        <v>222</v>
      </c>
      <c r="E223" s="66">
        <v>29435</v>
      </c>
      <c r="F223" s="85">
        <v>45361</v>
      </c>
      <c r="G223" s="64" t="s">
        <v>18</v>
      </c>
      <c r="H223"/>
      <c r="I223"/>
    </row>
    <row r="224" spans="1:9" x14ac:dyDescent="0.35">
      <c r="A224" s="71">
        <f t="shared" si="7"/>
        <v>31445.599999999977</v>
      </c>
      <c r="B224" s="72">
        <f t="shared" si="6"/>
        <v>1000</v>
      </c>
      <c r="C224" s="70">
        <v>223</v>
      </c>
      <c r="D224" s="65">
        <v>1000</v>
      </c>
      <c r="F224" s="85">
        <v>45361</v>
      </c>
      <c r="G224" s="64" t="s">
        <v>159</v>
      </c>
      <c r="H224"/>
      <c r="I224"/>
    </row>
    <row r="225" spans="1:9" x14ac:dyDescent="0.35">
      <c r="A225" s="71">
        <f t="shared" si="7"/>
        <v>46185.599999999977</v>
      </c>
      <c r="B225" s="72">
        <f t="shared" si="6"/>
        <v>14740</v>
      </c>
      <c r="C225" s="70">
        <v>224</v>
      </c>
      <c r="D225" s="65">
        <v>15140</v>
      </c>
      <c r="E225" s="66">
        <v>400</v>
      </c>
      <c r="F225" s="85">
        <v>45361</v>
      </c>
      <c r="G225" s="64" t="s">
        <v>160</v>
      </c>
      <c r="H225"/>
      <c r="I225"/>
    </row>
    <row r="226" spans="1:9" x14ac:dyDescent="0.35">
      <c r="A226" s="71">
        <f t="shared" si="7"/>
        <v>45945.599999999977</v>
      </c>
      <c r="B226" s="72">
        <f t="shared" si="6"/>
        <v>-240</v>
      </c>
      <c r="C226" s="70">
        <v>225</v>
      </c>
      <c r="E226" s="66">
        <v>240</v>
      </c>
      <c r="F226" s="85">
        <v>45361</v>
      </c>
      <c r="G226" s="64" t="s">
        <v>50</v>
      </c>
      <c r="H226"/>
      <c r="I226"/>
    </row>
    <row r="227" spans="1:9" x14ac:dyDescent="0.35">
      <c r="A227" s="71">
        <f t="shared" si="7"/>
        <v>45825.599999999977</v>
      </c>
      <c r="B227" s="72">
        <f t="shared" si="6"/>
        <v>-120</v>
      </c>
      <c r="C227" s="70">
        <v>226</v>
      </c>
      <c r="E227" s="66">
        <v>120</v>
      </c>
      <c r="F227" s="85">
        <v>45361</v>
      </c>
      <c r="G227" s="64" t="s">
        <v>99</v>
      </c>
      <c r="H227"/>
      <c r="I227"/>
    </row>
    <row r="228" spans="1:9" x14ac:dyDescent="0.35">
      <c r="A228" s="71">
        <f t="shared" si="7"/>
        <v>45805.599999999977</v>
      </c>
      <c r="B228" s="72">
        <f t="shared" si="6"/>
        <v>-20</v>
      </c>
      <c r="C228" s="70">
        <v>227</v>
      </c>
      <c r="E228" s="66">
        <v>20</v>
      </c>
      <c r="F228" s="85">
        <v>45361</v>
      </c>
      <c r="G228" s="64" t="s">
        <v>133</v>
      </c>
      <c r="H228"/>
      <c r="I228"/>
    </row>
    <row r="229" spans="1:9" x14ac:dyDescent="0.35">
      <c r="A229" s="71">
        <f t="shared" si="7"/>
        <v>45019.599999999977</v>
      </c>
      <c r="B229" s="72">
        <f t="shared" si="6"/>
        <v>-786</v>
      </c>
      <c r="C229" s="70">
        <v>228</v>
      </c>
      <c r="E229" s="66">
        <v>786</v>
      </c>
      <c r="F229" s="85">
        <v>45362</v>
      </c>
      <c r="G229" s="64" t="s">
        <v>161</v>
      </c>
      <c r="H229"/>
      <c r="I229"/>
    </row>
    <row r="230" spans="1:9" x14ac:dyDescent="0.35">
      <c r="A230" s="71">
        <f t="shared" si="7"/>
        <v>47189.599999999977</v>
      </c>
      <c r="B230" s="72">
        <f t="shared" si="6"/>
        <v>2170</v>
      </c>
      <c r="C230" s="70">
        <v>229</v>
      </c>
      <c r="D230" s="65">
        <v>2170</v>
      </c>
      <c r="F230" s="85">
        <v>45362</v>
      </c>
      <c r="H230"/>
      <c r="I230"/>
    </row>
    <row r="231" spans="1:9" x14ac:dyDescent="0.35">
      <c r="A231" s="71">
        <f t="shared" si="7"/>
        <v>49484.599999999977</v>
      </c>
      <c r="B231" s="72">
        <f t="shared" si="6"/>
        <v>2295</v>
      </c>
      <c r="C231" s="70">
        <v>230</v>
      </c>
      <c r="D231" s="65">
        <v>2295</v>
      </c>
      <c r="F231" s="85">
        <v>45363</v>
      </c>
      <c r="G231" s="64" t="s">
        <v>12</v>
      </c>
      <c r="H231"/>
      <c r="I231"/>
    </row>
    <row r="232" spans="1:9" x14ac:dyDescent="0.35">
      <c r="A232" s="71">
        <f t="shared" si="7"/>
        <v>55574.599999999977</v>
      </c>
      <c r="B232" s="72">
        <f t="shared" si="6"/>
        <v>6090</v>
      </c>
      <c r="C232" s="70">
        <v>231</v>
      </c>
      <c r="D232" s="65">
        <v>6090</v>
      </c>
      <c r="F232" s="85">
        <v>45364</v>
      </c>
      <c r="G232" s="64" t="s">
        <v>12</v>
      </c>
      <c r="H232"/>
      <c r="I232"/>
    </row>
    <row r="233" spans="1:9" x14ac:dyDescent="0.35">
      <c r="A233" s="71">
        <f t="shared" si="7"/>
        <v>55624.599999999977</v>
      </c>
      <c r="B233" s="72">
        <f t="shared" si="6"/>
        <v>50</v>
      </c>
      <c r="C233" s="70">
        <v>232</v>
      </c>
      <c r="D233" s="65">
        <v>50</v>
      </c>
      <c r="F233" s="85">
        <v>45364</v>
      </c>
      <c r="G233" s="64" t="s">
        <v>162</v>
      </c>
      <c r="H233"/>
      <c r="I233"/>
    </row>
    <row r="234" spans="1:9" x14ac:dyDescent="0.35">
      <c r="A234" s="71">
        <f t="shared" si="7"/>
        <v>53899.599999999977</v>
      </c>
      <c r="B234" s="72">
        <f t="shared" si="6"/>
        <v>-1725</v>
      </c>
      <c r="C234" s="70">
        <v>233</v>
      </c>
      <c r="E234" s="66">
        <v>1725</v>
      </c>
      <c r="F234" s="85">
        <v>45364</v>
      </c>
      <c r="G234" s="64" t="s">
        <v>163</v>
      </c>
      <c r="H234"/>
      <c r="I234"/>
    </row>
    <row r="235" spans="1:9" x14ac:dyDescent="0.35">
      <c r="A235" s="71">
        <f t="shared" si="7"/>
        <v>53249.599999999977</v>
      </c>
      <c r="B235" s="72">
        <f t="shared" si="6"/>
        <v>-650</v>
      </c>
      <c r="C235" s="70">
        <v>234</v>
      </c>
      <c r="E235" s="66">
        <v>650</v>
      </c>
      <c r="F235" s="85">
        <v>45364</v>
      </c>
      <c r="G235" s="64" t="s">
        <v>164</v>
      </c>
      <c r="H235"/>
      <c r="I235"/>
    </row>
    <row r="236" spans="1:9" x14ac:dyDescent="0.35">
      <c r="A236" s="71">
        <f t="shared" si="7"/>
        <v>52099.599999999977</v>
      </c>
      <c r="B236" s="72">
        <f t="shared" si="6"/>
        <v>-1150</v>
      </c>
      <c r="C236" s="70">
        <v>235</v>
      </c>
      <c r="E236" s="66">
        <v>1150</v>
      </c>
      <c r="F236" s="85">
        <v>45365</v>
      </c>
      <c r="G236" s="64" t="s">
        <v>213</v>
      </c>
      <c r="H236"/>
      <c r="I236"/>
    </row>
    <row r="237" spans="1:9" x14ac:dyDescent="0.35">
      <c r="A237" s="71">
        <f t="shared" si="7"/>
        <v>52709.599999999977</v>
      </c>
      <c r="B237" s="72">
        <f t="shared" si="6"/>
        <v>610</v>
      </c>
      <c r="C237" s="70">
        <v>236</v>
      </c>
      <c r="D237" s="65">
        <v>670</v>
      </c>
      <c r="E237" s="66">
        <v>60</v>
      </c>
      <c r="F237" s="85">
        <v>45365</v>
      </c>
      <c r="G237" s="64" t="s">
        <v>80</v>
      </c>
      <c r="H237"/>
      <c r="I237"/>
    </row>
    <row r="238" spans="1:9" x14ac:dyDescent="0.35">
      <c r="A238" s="71">
        <f t="shared" si="7"/>
        <v>55109.599999999977</v>
      </c>
      <c r="B238" s="72">
        <f t="shared" si="6"/>
        <v>2400</v>
      </c>
      <c r="C238" s="70">
        <v>237</v>
      </c>
      <c r="D238" s="65">
        <v>2460</v>
      </c>
      <c r="E238" s="66">
        <v>60</v>
      </c>
      <c r="F238" s="85">
        <v>45367</v>
      </c>
      <c r="G238" s="64" t="s">
        <v>127</v>
      </c>
      <c r="H238"/>
      <c r="I238"/>
    </row>
    <row r="239" spans="1:9" x14ac:dyDescent="0.35">
      <c r="A239" s="71">
        <f t="shared" si="7"/>
        <v>46939.599999999977</v>
      </c>
      <c r="B239" s="72">
        <f t="shared" si="6"/>
        <v>-8170</v>
      </c>
      <c r="C239" s="70">
        <v>238</v>
      </c>
      <c r="E239" s="66">
        <v>8170</v>
      </c>
      <c r="F239" s="85">
        <v>45367</v>
      </c>
      <c r="G239" s="64" t="s">
        <v>165</v>
      </c>
      <c r="H239"/>
      <c r="I239"/>
    </row>
    <row r="240" spans="1:9" x14ac:dyDescent="0.35">
      <c r="A240" s="71">
        <f t="shared" si="7"/>
        <v>60404.599999999977</v>
      </c>
      <c r="B240" s="72">
        <f t="shared" si="6"/>
        <v>13465</v>
      </c>
      <c r="C240" s="70">
        <v>239</v>
      </c>
      <c r="D240" s="65">
        <v>13465</v>
      </c>
      <c r="F240" s="85">
        <v>45368</v>
      </c>
      <c r="G240" s="64" t="s">
        <v>12</v>
      </c>
      <c r="H240"/>
      <c r="I240"/>
    </row>
    <row r="241" spans="1:9" x14ac:dyDescent="0.35">
      <c r="A241" s="71">
        <f t="shared" si="7"/>
        <v>57079.599999999977</v>
      </c>
      <c r="B241" s="72">
        <f t="shared" si="6"/>
        <v>-3325</v>
      </c>
      <c r="C241" s="70">
        <v>240</v>
      </c>
      <c r="E241" s="66">
        <v>3325</v>
      </c>
      <c r="F241" s="85">
        <v>45368</v>
      </c>
      <c r="G241" s="64" t="s">
        <v>166</v>
      </c>
      <c r="H241"/>
      <c r="I241"/>
    </row>
    <row r="242" spans="1:9" x14ac:dyDescent="0.35">
      <c r="A242" s="71">
        <f t="shared" si="7"/>
        <v>56960.599999999977</v>
      </c>
      <c r="B242" s="72">
        <f t="shared" si="6"/>
        <v>-119</v>
      </c>
      <c r="C242" s="70">
        <v>241</v>
      </c>
      <c r="E242" s="66">
        <v>119</v>
      </c>
      <c r="F242" s="85">
        <v>45368</v>
      </c>
      <c r="G242" s="64" t="s">
        <v>65</v>
      </c>
      <c r="H242"/>
      <c r="I242"/>
    </row>
    <row r="243" spans="1:9" x14ac:dyDescent="0.35">
      <c r="A243" s="71">
        <f t="shared" si="7"/>
        <v>56900.599999999977</v>
      </c>
      <c r="B243" s="72">
        <f t="shared" si="6"/>
        <v>-60</v>
      </c>
      <c r="C243" s="70">
        <v>242</v>
      </c>
      <c r="E243" s="66">
        <v>60</v>
      </c>
      <c r="F243" s="85">
        <v>45368</v>
      </c>
      <c r="G243" s="64" t="s">
        <v>113</v>
      </c>
      <c r="H243"/>
      <c r="I243"/>
    </row>
    <row r="244" spans="1:9" x14ac:dyDescent="0.35">
      <c r="A244" s="71">
        <f t="shared" si="7"/>
        <v>56640.599999999977</v>
      </c>
      <c r="B244" s="72">
        <f t="shared" si="6"/>
        <v>-260</v>
      </c>
      <c r="C244" s="70">
        <v>243</v>
      </c>
      <c r="E244" s="66">
        <v>260</v>
      </c>
      <c r="F244" s="85">
        <v>45368</v>
      </c>
      <c r="G244" s="64" t="s">
        <v>167</v>
      </c>
      <c r="H244"/>
      <c r="I244"/>
    </row>
    <row r="245" spans="1:9" x14ac:dyDescent="0.35">
      <c r="A245" s="71">
        <f t="shared" si="7"/>
        <v>57610.599999999977</v>
      </c>
      <c r="B245" s="72">
        <f t="shared" si="6"/>
        <v>970</v>
      </c>
      <c r="C245" s="70">
        <v>244</v>
      </c>
      <c r="D245" s="65">
        <v>970</v>
      </c>
      <c r="F245" s="85">
        <v>45369</v>
      </c>
      <c r="G245" s="64" t="s">
        <v>12</v>
      </c>
      <c r="H245"/>
      <c r="I245"/>
    </row>
    <row r="246" spans="1:9" x14ac:dyDescent="0.35">
      <c r="A246" s="71">
        <f t="shared" si="7"/>
        <v>74035.599999999977</v>
      </c>
      <c r="B246" s="72">
        <f t="shared" si="6"/>
        <v>16425</v>
      </c>
      <c r="C246" s="70">
        <v>245</v>
      </c>
      <c r="D246" s="65">
        <v>17305</v>
      </c>
      <c r="E246" s="66">
        <v>880</v>
      </c>
      <c r="F246" s="85">
        <v>45370</v>
      </c>
      <c r="G246" s="64" t="s">
        <v>168</v>
      </c>
      <c r="H246"/>
      <c r="I246"/>
    </row>
    <row r="247" spans="1:9" x14ac:dyDescent="0.35">
      <c r="A247" s="71">
        <f t="shared" si="7"/>
        <v>73435.599999999977</v>
      </c>
      <c r="B247" s="72">
        <f t="shared" si="6"/>
        <v>-600</v>
      </c>
      <c r="C247" s="70">
        <v>246</v>
      </c>
      <c r="E247" s="66">
        <v>600</v>
      </c>
      <c r="F247" s="85">
        <v>45370</v>
      </c>
      <c r="G247" s="64" t="s">
        <v>169</v>
      </c>
      <c r="H247"/>
      <c r="I247"/>
    </row>
    <row r="248" spans="1:9" x14ac:dyDescent="0.35">
      <c r="A248" s="71">
        <f t="shared" si="7"/>
        <v>73185.599999999977</v>
      </c>
      <c r="B248" s="72">
        <f t="shared" si="6"/>
        <v>-250</v>
      </c>
      <c r="C248" s="70">
        <v>247</v>
      </c>
      <c r="E248" s="66">
        <v>250</v>
      </c>
      <c r="F248" s="85">
        <v>45370</v>
      </c>
      <c r="G248" s="64" t="s">
        <v>170</v>
      </c>
      <c r="H248"/>
      <c r="I248"/>
    </row>
    <row r="249" spans="1:9" x14ac:dyDescent="0.35">
      <c r="A249" s="71">
        <f t="shared" si="7"/>
        <v>82165.599999999977</v>
      </c>
      <c r="B249" s="72">
        <f t="shared" si="6"/>
        <v>8980</v>
      </c>
      <c r="C249" s="70">
        <v>248</v>
      </c>
      <c r="D249" s="65">
        <v>9020</v>
      </c>
      <c r="E249" s="66">
        <v>40</v>
      </c>
      <c r="F249" s="85">
        <v>45371</v>
      </c>
      <c r="G249" s="64" t="s">
        <v>171</v>
      </c>
      <c r="H249"/>
      <c r="I249"/>
    </row>
    <row r="250" spans="1:9" x14ac:dyDescent="0.35">
      <c r="A250" s="71">
        <f t="shared" si="7"/>
        <v>82065.599999999977</v>
      </c>
      <c r="B250" s="72">
        <f t="shared" si="6"/>
        <v>-100</v>
      </c>
      <c r="C250" s="70">
        <v>249</v>
      </c>
      <c r="E250" s="66">
        <v>100</v>
      </c>
      <c r="F250" s="85">
        <v>45371</v>
      </c>
      <c r="G250" s="64" t="s">
        <v>172</v>
      </c>
      <c r="H250"/>
      <c r="I250"/>
    </row>
    <row r="251" spans="1:9" x14ac:dyDescent="0.35">
      <c r="A251" s="71">
        <f t="shared" si="7"/>
        <v>82025.599999999977</v>
      </c>
      <c r="B251" s="72">
        <f t="shared" si="6"/>
        <v>-40</v>
      </c>
      <c r="C251" s="70">
        <v>250</v>
      </c>
      <c r="E251" s="66">
        <v>40</v>
      </c>
      <c r="F251" s="85">
        <v>45371</v>
      </c>
      <c r="G251" s="64" t="s">
        <v>41</v>
      </c>
      <c r="H251"/>
      <c r="I251"/>
    </row>
    <row r="252" spans="1:9" x14ac:dyDescent="0.35">
      <c r="A252" s="71">
        <f t="shared" si="7"/>
        <v>81825.599999999977</v>
      </c>
      <c r="B252" s="72">
        <f t="shared" si="6"/>
        <v>-200</v>
      </c>
      <c r="C252" s="70">
        <v>251</v>
      </c>
      <c r="E252" s="66">
        <v>200</v>
      </c>
      <c r="F252" s="85">
        <v>45371</v>
      </c>
      <c r="G252" s="64" t="s">
        <v>173</v>
      </c>
      <c r="H252"/>
      <c r="I252"/>
    </row>
    <row r="253" spans="1:9" x14ac:dyDescent="0.35">
      <c r="A253" s="71">
        <f t="shared" si="7"/>
        <v>78825.599999999977</v>
      </c>
      <c r="B253" s="72">
        <f t="shared" si="6"/>
        <v>-3000</v>
      </c>
      <c r="C253" s="70">
        <v>252</v>
      </c>
      <c r="E253" s="66">
        <v>3000</v>
      </c>
      <c r="F253" s="85">
        <v>45372</v>
      </c>
      <c r="G253" s="64" t="s">
        <v>174</v>
      </c>
      <c r="H253"/>
      <c r="I253"/>
    </row>
    <row r="254" spans="1:9" x14ac:dyDescent="0.35">
      <c r="A254" s="71">
        <f t="shared" si="7"/>
        <v>65825.599999999977</v>
      </c>
      <c r="B254" s="72">
        <f t="shared" si="6"/>
        <v>-13000</v>
      </c>
      <c r="C254" s="70">
        <v>253</v>
      </c>
      <c r="E254" s="66">
        <v>13000</v>
      </c>
      <c r="F254" s="85">
        <v>45374</v>
      </c>
      <c r="G254" s="64" t="s">
        <v>175</v>
      </c>
      <c r="H254"/>
      <c r="I254"/>
    </row>
    <row r="255" spans="1:9" x14ac:dyDescent="0.35">
      <c r="A255" s="71">
        <f t="shared" si="7"/>
        <v>66945.599999999977</v>
      </c>
      <c r="B255" s="72">
        <f t="shared" si="6"/>
        <v>1120</v>
      </c>
      <c r="C255" s="70">
        <v>254</v>
      </c>
      <c r="D255" s="65">
        <v>1180</v>
      </c>
      <c r="E255" s="66">
        <v>60</v>
      </c>
      <c r="F255" s="85">
        <v>45372</v>
      </c>
      <c r="G255" s="64" t="s">
        <v>44</v>
      </c>
      <c r="H255"/>
      <c r="I255"/>
    </row>
    <row r="256" spans="1:9" x14ac:dyDescent="0.35">
      <c r="A256" s="71">
        <f t="shared" si="7"/>
        <v>71190.599999999977</v>
      </c>
      <c r="B256" s="72">
        <f t="shared" si="6"/>
        <v>4245</v>
      </c>
      <c r="C256" s="70">
        <v>255</v>
      </c>
      <c r="D256" s="65">
        <v>4665</v>
      </c>
      <c r="E256" s="66">
        <v>420</v>
      </c>
      <c r="F256" s="85">
        <v>45374</v>
      </c>
      <c r="G256" s="64" t="s">
        <v>176</v>
      </c>
      <c r="H256"/>
      <c r="I256"/>
    </row>
    <row r="257" spans="1:9" x14ac:dyDescent="0.35">
      <c r="A257" s="71">
        <f t="shared" si="7"/>
        <v>70990.599999999977</v>
      </c>
      <c r="B257" s="72">
        <f t="shared" si="6"/>
        <v>-200</v>
      </c>
      <c r="C257" s="70">
        <v>256</v>
      </c>
      <c r="E257" s="66">
        <v>200</v>
      </c>
      <c r="F257" s="85">
        <v>45374</v>
      </c>
      <c r="G257" s="64" t="s">
        <v>50</v>
      </c>
      <c r="H257"/>
      <c r="I257"/>
    </row>
    <row r="258" spans="1:9" x14ac:dyDescent="0.35">
      <c r="A258" s="71">
        <f t="shared" si="7"/>
        <v>70930.599999999977</v>
      </c>
      <c r="B258" s="72">
        <f t="shared" si="6"/>
        <v>-60</v>
      </c>
      <c r="C258" s="70">
        <v>257</v>
      </c>
      <c r="E258" s="66">
        <v>60</v>
      </c>
      <c r="F258" s="85">
        <v>45374</v>
      </c>
      <c r="G258" s="64" t="s">
        <v>99</v>
      </c>
      <c r="H258"/>
      <c r="I258"/>
    </row>
    <row r="259" spans="1:9" x14ac:dyDescent="0.35">
      <c r="A259" s="71">
        <f t="shared" si="7"/>
        <v>75820.599999999977</v>
      </c>
      <c r="B259" s="72">
        <f t="shared" ref="B259:B322" si="8">SUM(D259-E259)</f>
        <v>4890</v>
      </c>
      <c r="C259" s="70">
        <v>258</v>
      </c>
      <c r="D259" s="65">
        <v>4950</v>
      </c>
      <c r="E259" s="66">
        <v>60</v>
      </c>
      <c r="F259" s="85">
        <v>45375</v>
      </c>
      <c r="G259" s="64" t="s">
        <v>130</v>
      </c>
      <c r="H259"/>
      <c r="I259"/>
    </row>
    <row r="260" spans="1:9" x14ac:dyDescent="0.35">
      <c r="A260" s="71">
        <f t="shared" ref="A260:A323" si="9">SUM(A259+B260)</f>
        <v>74820.599999999977</v>
      </c>
      <c r="B260" s="72">
        <f t="shared" si="8"/>
        <v>-1000</v>
      </c>
      <c r="C260" s="70">
        <v>259</v>
      </c>
      <c r="E260" s="66">
        <v>1000</v>
      </c>
      <c r="F260" s="85">
        <v>45376</v>
      </c>
      <c r="G260" s="64" t="s">
        <v>177</v>
      </c>
      <c r="H260"/>
      <c r="I260"/>
    </row>
    <row r="261" spans="1:9" x14ac:dyDescent="0.35">
      <c r="A261" s="71">
        <f t="shared" si="9"/>
        <v>75670.599999999977</v>
      </c>
      <c r="B261" s="72">
        <f t="shared" si="8"/>
        <v>850</v>
      </c>
      <c r="C261" s="70">
        <v>260</v>
      </c>
      <c r="D261" s="65">
        <v>970</v>
      </c>
      <c r="E261" s="66">
        <v>120</v>
      </c>
      <c r="F261" s="85">
        <v>45376</v>
      </c>
      <c r="G261" s="64" t="s">
        <v>140</v>
      </c>
      <c r="H261"/>
      <c r="I261"/>
    </row>
    <row r="262" spans="1:9" x14ac:dyDescent="0.35">
      <c r="A262" s="71">
        <f t="shared" si="9"/>
        <v>89110.599999999977</v>
      </c>
      <c r="B262" s="72">
        <f t="shared" si="8"/>
        <v>13440</v>
      </c>
      <c r="C262" s="70">
        <v>261</v>
      </c>
      <c r="D262" s="65">
        <v>13440</v>
      </c>
      <c r="F262" s="85">
        <v>45377</v>
      </c>
      <c r="G262" s="64" t="s">
        <v>12</v>
      </c>
      <c r="H262"/>
      <c r="I262"/>
    </row>
    <row r="263" spans="1:9" x14ac:dyDescent="0.35">
      <c r="A263" s="71">
        <f t="shared" si="9"/>
        <v>98490.599999999977</v>
      </c>
      <c r="B263" s="72">
        <f t="shared" si="8"/>
        <v>9380</v>
      </c>
      <c r="C263" s="70">
        <v>262</v>
      </c>
      <c r="D263" s="65">
        <v>9380</v>
      </c>
      <c r="F263" s="85">
        <v>45378</v>
      </c>
      <c r="G263" s="64" t="s">
        <v>12</v>
      </c>
      <c r="H263"/>
      <c r="I263"/>
    </row>
    <row r="264" spans="1:9" x14ac:dyDescent="0.35">
      <c r="A264" s="71">
        <f t="shared" si="9"/>
        <v>96170.599999999977</v>
      </c>
      <c r="B264" s="72">
        <f t="shared" si="8"/>
        <v>-2320</v>
      </c>
      <c r="C264" s="70">
        <v>263</v>
      </c>
      <c r="E264" s="66">
        <v>2320</v>
      </c>
      <c r="F264" s="85">
        <v>45379</v>
      </c>
      <c r="G264" s="64" t="s">
        <v>178</v>
      </c>
      <c r="H264"/>
      <c r="I264"/>
    </row>
    <row r="265" spans="1:9" x14ac:dyDescent="0.35">
      <c r="A265" s="71">
        <f t="shared" si="9"/>
        <v>96830.599999999977</v>
      </c>
      <c r="B265" s="72">
        <f t="shared" si="8"/>
        <v>660</v>
      </c>
      <c r="C265" s="70">
        <v>264</v>
      </c>
      <c r="D265" s="65">
        <v>840</v>
      </c>
      <c r="E265" s="66">
        <v>180</v>
      </c>
      <c r="F265" s="85">
        <v>45379</v>
      </c>
      <c r="G265" s="64" t="s">
        <v>179</v>
      </c>
      <c r="H265"/>
      <c r="I265"/>
    </row>
    <row r="266" spans="1:9" x14ac:dyDescent="0.35">
      <c r="A266" s="71">
        <f t="shared" si="9"/>
        <v>100990.59999999998</v>
      </c>
      <c r="B266" s="72">
        <f t="shared" si="8"/>
        <v>4160</v>
      </c>
      <c r="C266" s="70">
        <v>265</v>
      </c>
      <c r="D266" s="65">
        <v>4660</v>
      </c>
      <c r="E266" s="66">
        <v>500</v>
      </c>
      <c r="F266" s="85">
        <v>45381</v>
      </c>
      <c r="G266" s="64" t="s">
        <v>64</v>
      </c>
      <c r="H266"/>
      <c r="I266"/>
    </row>
    <row r="267" spans="1:9" x14ac:dyDescent="0.35">
      <c r="A267" s="71">
        <f t="shared" si="9"/>
        <v>58140.599999999977</v>
      </c>
      <c r="B267" s="72">
        <f t="shared" si="8"/>
        <v>-42850</v>
      </c>
      <c r="C267" s="70">
        <v>266</v>
      </c>
      <c r="E267" s="66">
        <v>42850</v>
      </c>
      <c r="F267" s="85">
        <v>45382</v>
      </c>
      <c r="G267" s="64" t="s">
        <v>180</v>
      </c>
      <c r="H267"/>
      <c r="I267"/>
    </row>
    <row r="268" spans="1:9" x14ac:dyDescent="0.35">
      <c r="A268" s="71">
        <f t="shared" si="9"/>
        <v>67655.599999999977</v>
      </c>
      <c r="B268" s="72">
        <f t="shared" si="8"/>
        <v>9515</v>
      </c>
      <c r="C268" s="70">
        <v>267</v>
      </c>
      <c r="D268" s="65">
        <v>9715</v>
      </c>
      <c r="E268" s="66">
        <v>200</v>
      </c>
      <c r="F268" s="85">
        <v>45382</v>
      </c>
      <c r="G268" s="64" t="s">
        <v>141</v>
      </c>
      <c r="H268"/>
      <c r="I268"/>
    </row>
    <row r="269" spans="1:9" x14ac:dyDescent="0.35">
      <c r="A269" s="71">
        <f t="shared" si="9"/>
        <v>123655.59999999998</v>
      </c>
      <c r="B269" s="72">
        <f t="shared" si="8"/>
        <v>56000</v>
      </c>
      <c r="C269" s="70">
        <v>268</v>
      </c>
      <c r="D269" s="65">
        <v>56000</v>
      </c>
      <c r="F269" s="85">
        <v>45383</v>
      </c>
      <c r="G269" s="64" t="s">
        <v>181</v>
      </c>
      <c r="H269"/>
      <c r="I269"/>
    </row>
    <row r="270" spans="1:9" x14ac:dyDescent="0.35">
      <c r="A270" s="71">
        <f t="shared" si="9"/>
        <v>58956.599999999977</v>
      </c>
      <c r="B270" s="72">
        <f t="shared" si="8"/>
        <v>-64699</v>
      </c>
      <c r="C270" s="70">
        <v>269</v>
      </c>
      <c r="E270" s="66">
        <v>64699</v>
      </c>
      <c r="F270" s="85">
        <v>45383</v>
      </c>
      <c r="G270" s="64" t="s">
        <v>21</v>
      </c>
      <c r="H270"/>
      <c r="I270"/>
    </row>
    <row r="271" spans="1:9" x14ac:dyDescent="0.35">
      <c r="A271" s="71">
        <f t="shared" si="9"/>
        <v>46926.599999999977</v>
      </c>
      <c r="B271" s="72">
        <f t="shared" si="8"/>
        <v>-12030</v>
      </c>
      <c r="C271" s="70">
        <v>270</v>
      </c>
      <c r="E271" s="66">
        <v>12030</v>
      </c>
      <c r="F271" s="85">
        <v>45383</v>
      </c>
      <c r="G271" s="64" t="s">
        <v>146</v>
      </c>
      <c r="H271"/>
      <c r="I271"/>
    </row>
    <row r="272" spans="1:9" x14ac:dyDescent="0.35">
      <c r="A272" s="71">
        <f t="shared" si="9"/>
        <v>45926.599999999977</v>
      </c>
      <c r="B272" s="72">
        <f t="shared" si="8"/>
        <v>-1000</v>
      </c>
      <c r="C272" s="70">
        <v>271</v>
      </c>
      <c r="E272" s="66">
        <v>1000</v>
      </c>
      <c r="F272" s="85">
        <v>45383</v>
      </c>
      <c r="G272" s="64" t="s">
        <v>87</v>
      </c>
      <c r="H272"/>
      <c r="I272"/>
    </row>
    <row r="273" spans="1:9" x14ac:dyDescent="0.35">
      <c r="A273" s="71">
        <f t="shared" si="9"/>
        <v>49466.599999999977</v>
      </c>
      <c r="B273" s="72">
        <f t="shared" si="8"/>
        <v>3540</v>
      </c>
      <c r="C273" s="70">
        <v>272</v>
      </c>
      <c r="D273" s="65">
        <v>3600</v>
      </c>
      <c r="E273" s="66">
        <v>60</v>
      </c>
      <c r="F273" s="85">
        <v>45383</v>
      </c>
      <c r="G273" s="64" t="s">
        <v>182</v>
      </c>
      <c r="H273"/>
      <c r="I273"/>
    </row>
    <row r="274" spans="1:9" x14ac:dyDescent="0.35">
      <c r="A274" s="71">
        <f t="shared" si="9"/>
        <v>77366.599999999977</v>
      </c>
      <c r="B274" s="72">
        <f t="shared" si="8"/>
        <v>27900</v>
      </c>
      <c r="C274" s="70">
        <v>273</v>
      </c>
      <c r="D274" s="65">
        <v>27960</v>
      </c>
      <c r="E274" s="66">
        <v>60</v>
      </c>
      <c r="F274" s="85">
        <v>45384</v>
      </c>
      <c r="G274" s="64" t="s">
        <v>25</v>
      </c>
      <c r="H274"/>
      <c r="I274"/>
    </row>
    <row r="275" spans="1:9" x14ac:dyDescent="0.35">
      <c r="A275" s="71">
        <f t="shared" si="9"/>
        <v>77056.599999999977</v>
      </c>
      <c r="B275" s="72">
        <f t="shared" si="8"/>
        <v>-310</v>
      </c>
      <c r="C275" s="70">
        <v>274</v>
      </c>
      <c r="E275" s="66">
        <v>310</v>
      </c>
      <c r="F275" s="85">
        <v>45384</v>
      </c>
      <c r="G275" s="64" t="s">
        <v>183</v>
      </c>
      <c r="H275"/>
      <c r="I275"/>
    </row>
    <row r="276" spans="1:9" x14ac:dyDescent="0.35">
      <c r="A276" s="71">
        <f t="shared" si="9"/>
        <v>83486.599999999977</v>
      </c>
      <c r="B276" s="72">
        <f t="shared" si="8"/>
        <v>6430</v>
      </c>
      <c r="C276" s="70">
        <v>275</v>
      </c>
      <c r="D276" s="65">
        <v>6490</v>
      </c>
      <c r="E276" s="66">
        <v>60</v>
      </c>
      <c r="F276" s="85">
        <v>45385</v>
      </c>
      <c r="G276" s="64" t="s">
        <v>31</v>
      </c>
      <c r="H276"/>
      <c r="I276"/>
    </row>
    <row r="277" spans="1:9" x14ac:dyDescent="0.35">
      <c r="A277" s="71">
        <f t="shared" si="9"/>
        <v>59286.599999999977</v>
      </c>
      <c r="B277" s="72">
        <f t="shared" si="8"/>
        <v>-24200</v>
      </c>
      <c r="C277" s="70">
        <v>276</v>
      </c>
      <c r="E277" s="66">
        <v>24200</v>
      </c>
      <c r="F277" s="85">
        <v>45385</v>
      </c>
      <c r="G277" s="64" t="s">
        <v>15</v>
      </c>
      <c r="H277"/>
      <c r="I277"/>
    </row>
    <row r="278" spans="1:9" x14ac:dyDescent="0.35">
      <c r="A278" s="71">
        <f t="shared" si="9"/>
        <v>53086.599999999977</v>
      </c>
      <c r="B278" s="72">
        <f t="shared" si="8"/>
        <v>-6200</v>
      </c>
      <c r="C278" s="70">
        <v>277</v>
      </c>
      <c r="E278" s="66">
        <v>6200</v>
      </c>
      <c r="F278" s="85">
        <v>45385</v>
      </c>
      <c r="G278" s="64" t="s">
        <v>184</v>
      </c>
      <c r="H278"/>
      <c r="I278"/>
    </row>
    <row r="279" spans="1:9" x14ac:dyDescent="0.35">
      <c r="A279" s="71">
        <f t="shared" si="9"/>
        <v>35586.599999999977</v>
      </c>
      <c r="B279" s="72">
        <f t="shared" si="8"/>
        <v>-17500</v>
      </c>
      <c r="C279" s="70">
        <v>278</v>
      </c>
      <c r="E279" s="66">
        <v>17500</v>
      </c>
      <c r="F279" s="85">
        <v>45386</v>
      </c>
      <c r="G279" s="64" t="s">
        <v>17</v>
      </c>
      <c r="H279"/>
      <c r="I279"/>
    </row>
    <row r="280" spans="1:9" x14ac:dyDescent="0.35">
      <c r="A280" s="71">
        <f t="shared" si="9"/>
        <v>35176.599999999977</v>
      </c>
      <c r="B280" s="72">
        <f t="shared" si="8"/>
        <v>-410</v>
      </c>
      <c r="C280" s="70">
        <v>279</v>
      </c>
      <c r="E280" s="66">
        <v>410</v>
      </c>
      <c r="F280" s="85">
        <v>45386</v>
      </c>
      <c r="G280" s="64" t="s">
        <v>94</v>
      </c>
      <c r="H280"/>
      <c r="I280"/>
    </row>
    <row r="281" spans="1:9" x14ac:dyDescent="0.35">
      <c r="A281" s="71">
        <f t="shared" si="9"/>
        <v>34966.599999999977</v>
      </c>
      <c r="B281" s="72">
        <f t="shared" si="8"/>
        <v>-210</v>
      </c>
      <c r="C281" s="70">
        <v>280</v>
      </c>
      <c r="E281" s="66">
        <v>210</v>
      </c>
      <c r="F281" s="85">
        <v>45386</v>
      </c>
      <c r="G281" s="64" t="s">
        <v>1</v>
      </c>
      <c r="H281"/>
      <c r="I281"/>
    </row>
    <row r="282" spans="1:9" x14ac:dyDescent="0.35">
      <c r="A282" s="71">
        <f t="shared" si="9"/>
        <v>37177.599999999977</v>
      </c>
      <c r="B282" s="72">
        <f t="shared" si="8"/>
        <v>2211</v>
      </c>
      <c r="C282" s="70">
        <v>281</v>
      </c>
      <c r="D282" s="65">
        <v>2271</v>
      </c>
      <c r="E282" s="66">
        <v>60</v>
      </c>
      <c r="F282" s="85">
        <v>45386</v>
      </c>
      <c r="G282" s="64" t="s">
        <v>30</v>
      </c>
      <c r="H282"/>
      <c r="I282"/>
    </row>
    <row r="283" spans="1:9" x14ac:dyDescent="0.35">
      <c r="A283" s="71">
        <f t="shared" si="9"/>
        <v>37117.599999999977</v>
      </c>
      <c r="B283" s="72">
        <f t="shared" si="8"/>
        <v>-60</v>
      </c>
      <c r="C283" s="70">
        <v>282</v>
      </c>
      <c r="E283" s="66">
        <v>60</v>
      </c>
      <c r="F283" s="85">
        <v>45386</v>
      </c>
      <c r="G283" s="64" t="s">
        <v>113</v>
      </c>
      <c r="H283"/>
      <c r="I283"/>
    </row>
    <row r="284" spans="1:9" x14ac:dyDescent="0.35">
      <c r="A284" s="71">
        <f t="shared" si="9"/>
        <v>41077.599999999977</v>
      </c>
      <c r="B284" s="72">
        <f t="shared" si="8"/>
        <v>3960</v>
      </c>
      <c r="C284" s="70">
        <v>283</v>
      </c>
      <c r="D284" s="65">
        <v>4270</v>
      </c>
      <c r="E284" s="66">
        <v>310</v>
      </c>
      <c r="F284" s="85">
        <v>45388</v>
      </c>
      <c r="G284" s="64" t="s">
        <v>177</v>
      </c>
      <c r="H284"/>
      <c r="I284"/>
    </row>
    <row r="285" spans="1:9" x14ac:dyDescent="0.35">
      <c r="A285" s="71">
        <f t="shared" si="9"/>
        <v>40442.599999999977</v>
      </c>
      <c r="B285" s="72">
        <f t="shared" si="8"/>
        <v>-635</v>
      </c>
      <c r="C285" s="70">
        <v>284</v>
      </c>
      <c r="E285" s="66">
        <v>635</v>
      </c>
      <c r="F285" s="85">
        <v>45389</v>
      </c>
      <c r="G285" s="64" t="s">
        <v>185</v>
      </c>
      <c r="H285"/>
      <c r="I285"/>
    </row>
    <row r="286" spans="1:9" x14ac:dyDescent="0.35">
      <c r="A286" s="71">
        <f t="shared" si="9"/>
        <v>68042.599999999977</v>
      </c>
      <c r="B286" s="72">
        <f t="shared" si="8"/>
        <v>27600</v>
      </c>
      <c r="C286" s="70">
        <v>285</v>
      </c>
      <c r="D286" s="65">
        <v>27600</v>
      </c>
      <c r="F286" s="85">
        <v>45389</v>
      </c>
      <c r="G286" s="64" t="s">
        <v>12</v>
      </c>
      <c r="H286"/>
      <c r="I286"/>
    </row>
    <row r="287" spans="1:9" x14ac:dyDescent="0.35">
      <c r="A287" s="71">
        <f t="shared" si="9"/>
        <v>65792.599999999977</v>
      </c>
      <c r="B287" s="72">
        <f t="shared" si="8"/>
        <v>-2250</v>
      </c>
      <c r="C287" s="70">
        <v>286</v>
      </c>
      <c r="E287" s="66">
        <v>2250</v>
      </c>
      <c r="F287" s="85">
        <v>45389</v>
      </c>
      <c r="G287" s="64" t="s">
        <v>186</v>
      </c>
      <c r="H287"/>
      <c r="I287"/>
    </row>
    <row r="288" spans="1:9" x14ac:dyDescent="0.35">
      <c r="A288" s="71">
        <f t="shared" si="9"/>
        <v>59542.599999999977</v>
      </c>
      <c r="B288" s="72">
        <f t="shared" si="8"/>
        <v>-6250</v>
      </c>
      <c r="C288" s="70">
        <v>287</v>
      </c>
      <c r="E288" s="66">
        <v>6250</v>
      </c>
      <c r="F288" s="85">
        <v>45389</v>
      </c>
      <c r="G288" s="64" t="s">
        <v>187</v>
      </c>
      <c r="H288"/>
      <c r="I288"/>
    </row>
    <row r="289" spans="1:9" x14ac:dyDescent="0.35">
      <c r="A289" s="71">
        <f t="shared" si="9"/>
        <v>59482.599999999977</v>
      </c>
      <c r="B289" s="72">
        <f t="shared" si="8"/>
        <v>-60</v>
      </c>
      <c r="C289" s="70">
        <v>288</v>
      </c>
      <c r="E289" s="66">
        <v>60</v>
      </c>
      <c r="F289" s="85">
        <v>45389</v>
      </c>
      <c r="G289" s="64" t="s">
        <v>39</v>
      </c>
      <c r="H289"/>
      <c r="I289"/>
    </row>
    <row r="290" spans="1:9" x14ac:dyDescent="0.35">
      <c r="A290" s="71">
        <f t="shared" si="9"/>
        <v>59422.599999999977</v>
      </c>
      <c r="B290" s="72">
        <f t="shared" si="8"/>
        <v>-60</v>
      </c>
      <c r="C290" s="70">
        <v>289</v>
      </c>
      <c r="E290" s="66">
        <v>60</v>
      </c>
      <c r="F290" s="85">
        <v>45389</v>
      </c>
      <c r="G290" s="64" t="s">
        <v>44</v>
      </c>
      <c r="H290"/>
      <c r="I290"/>
    </row>
    <row r="291" spans="1:9" x14ac:dyDescent="0.35">
      <c r="A291" s="71">
        <f t="shared" si="9"/>
        <v>47422.599999999977</v>
      </c>
      <c r="B291" s="72">
        <f t="shared" si="8"/>
        <v>-12000</v>
      </c>
      <c r="C291" s="70">
        <v>290</v>
      </c>
      <c r="E291" s="66">
        <v>12000</v>
      </c>
      <c r="F291" s="85">
        <v>45390</v>
      </c>
      <c r="G291" s="64" t="s">
        <v>4</v>
      </c>
      <c r="H291"/>
      <c r="I291"/>
    </row>
    <row r="292" spans="1:9" x14ac:dyDescent="0.35">
      <c r="A292" s="71">
        <f t="shared" si="9"/>
        <v>21523.599999999977</v>
      </c>
      <c r="B292" s="72">
        <f t="shared" si="8"/>
        <v>-25899</v>
      </c>
      <c r="C292" s="70">
        <v>291</v>
      </c>
      <c r="E292" s="66">
        <v>25899</v>
      </c>
      <c r="F292" s="85">
        <v>45390</v>
      </c>
      <c r="G292" s="64" t="s">
        <v>18</v>
      </c>
      <c r="H292"/>
      <c r="I292"/>
    </row>
    <row r="293" spans="1:9" x14ac:dyDescent="0.35">
      <c r="A293" s="71">
        <f t="shared" si="9"/>
        <v>20598.599999999977</v>
      </c>
      <c r="B293" s="72">
        <f t="shared" si="8"/>
        <v>-925</v>
      </c>
      <c r="C293" s="70">
        <v>292</v>
      </c>
      <c r="E293" s="66">
        <v>925</v>
      </c>
      <c r="F293" s="85">
        <v>45390</v>
      </c>
      <c r="G293" s="64" t="s">
        <v>5</v>
      </c>
      <c r="H293"/>
      <c r="I293"/>
    </row>
    <row r="294" spans="1:9" x14ac:dyDescent="0.35">
      <c r="A294" s="71">
        <f t="shared" si="9"/>
        <v>26848.599999999977</v>
      </c>
      <c r="B294" s="72">
        <f t="shared" si="8"/>
        <v>6250</v>
      </c>
      <c r="C294" s="70">
        <v>293</v>
      </c>
      <c r="D294" s="65">
        <v>6250</v>
      </c>
      <c r="F294" s="85">
        <v>45390</v>
      </c>
      <c r="G294" s="64" t="s">
        <v>19</v>
      </c>
      <c r="H294"/>
      <c r="I294"/>
    </row>
    <row r="295" spans="1:9" x14ac:dyDescent="0.35">
      <c r="A295" s="71">
        <f t="shared" si="9"/>
        <v>27518.599999999977</v>
      </c>
      <c r="B295" s="72">
        <f t="shared" si="8"/>
        <v>670</v>
      </c>
      <c r="C295" s="70">
        <v>294</v>
      </c>
      <c r="D295" s="65">
        <v>790</v>
      </c>
      <c r="E295" s="66">
        <v>120</v>
      </c>
      <c r="F295" s="85">
        <v>45390</v>
      </c>
      <c r="G295" s="64" t="s">
        <v>20</v>
      </c>
      <c r="H295"/>
      <c r="I295"/>
    </row>
    <row r="296" spans="1:9" x14ac:dyDescent="0.35">
      <c r="A296" s="71">
        <f t="shared" si="9"/>
        <v>27458.599999999977</v>
      </c>
      <c r="B296" s="72">
        <f t="shared" si="8"/>
        <v>-60</v>
      </c>
      <c r="C296" s="70">
        <v>295</v>
      </c>
      <c r="E296" s="66">
        <v>60</v>
      </c>
      <c r="F296" s="85">
        <v>45390</v>
      </c>
      <c r="G296" s="64" t="s">
        <v>100</v>
      </c>
      <c r="H296"/>
      <c r="I296"/>
    </row>
    <row r="297" spans="1:9" x14ac:dyDescent="0.35">
      <c r="A297" s="71">
        <f t="shared" si="9"/>
        <v>27918.599999999977</v>
      </c>
      <c r="B297" s="72">
        <f t="shared" si="8"/>
        <v>460</v>
      </c>
      <c r="C297" s="70">
        <v>296</v>
      </c>
      <c r="D297" s="65">
        <v>460</v>
      </c>
      <c r="F297" s="85">
        <v>45391</v>
      </c>
      <c r="G297" s="64" t="s">
        <v>12</v>
      </c>
      <c r="H297"/>
      <c r="I297"/>
    </row>
    <row r="298" spans="1:9" x14ac:dyDescent="0.35">
      <c r="A298" s="71">
        <f t="shared" si="9"/>
        <v>32688.599999999977</v>
      </c>
      <c r="B298" s="72">
        <f t="shared" si="8"/>
        <v>4770</v>
      </c>
      <c r="C298" s="70">
        <v>297</v>
      </c>
      <c r="D298" s="65">
        <v>4770</v>
      </c>
      <c r="F298" s="85">
        <v>45396</v>
      </c>
      <c r="G298" s="64" t="s">
        <v>12</v>
      </c>
      <c r="H298"/>
      <c r="I298"/>
    </row>
    <row r="299" spans="1:9" x14ac:dyDescent="0.35">
      <c r="A299" s="71">
        <f t="shared" si="9"/>
        <v>32503.599999999977</v>
      </c>
      <c r="B299" s="72">
        <f t="shared" si="8"/>
        <v>-185</v>
      </c>
      <c r="C299" s="70">
        <v>298</v>
      </c>
      <c r="E299" s="66">
        <v>185</v>
      </c>
      <c r="F299" s="85">
        <v>45396</v>
      </c>
      <c r="G299" s="64" t="s">
        <v>188</v>
      </c>
      <c r="H299"/>
      <c r="I299"/>
    </row>
    <row r="300" spans="1:9" x14ac:dyDescent="0.35">
      <c r="A300" s="71">
        <f t="shared" si="9"/>
        <v>32283.599999999977</v>
      </c>
      <c r="B300" s="72">
        <f t="shared" si="8"/>
        <v>-220</v>
      </c>
      <c r="C300" s="70">
        <v>299</v>
      </c>
      <c r="E300" s="66">
        <v>220</v>
      </c>
      <c r="F300" s="85">
        <v>45396</v>
      </c>
      <c r="G300" s="64" t="s">
        <v>50</v>
      </c>
      <c r="H300"/>
      <c r="I300"/>
    </row>
    <row r="301" spans="1:9" x14ac:dyDescent="0.35">
      <c r="A301" s="71">
        <f t="shared" si="9"/>
        <v>32183.599999999977</v>
      </c>
      <c r="B301" s="72">
        <f t="shared" si="8"/>
        <v>-100</v>
      </c>
      <c r="C301" s="70">
        <v>300</v>
      </c>
      <c r="E301" s="66">
        <v>100</v>
      </c>
      <c r="F301" s="85">
        <v>45396</v>
      </c>
      <c r="G301" s="64" t="s">
        <v>189</v>
      </c>
      <c r="H301"/>
      <c r="I301"/>
    </row>
    <row r="302" spans="1:9" x14ac:dyDescent="0.35">
      <c r="A302" s="71">
        <f t="shared" si="9"/>
        <v>32166.599999999977</v>
      </c>
      <c r="B302" s="72">
        <f t="shared" si="8"/>
        <v>-17</v>
      </c>
      <c r="C302" s="70">
        <v>301</v>
      </c>
      <c r="E302" s="66">
        <v>17</v>
      </c>
      <c r="F302" s="85">
        <v>45397</v>
      </c>
      <c r="G302" s="64" t="s">
        <v>192</v>
      </c>
      <c r="H302"/>
      <c r="I302"/>
    </row>
    <row r="303" spans="1:9" x14ac:dyDescent="0.35">
      <c r="A303" s="71">
        <f t="shared" si="9"/>
        <v>31541.599999999977</v>
      </c>
      <c r="B303" s="72">
        <f t="shared" si="8"/>
        <v>-625</v>
      </c>
      <c r="C303" s="70">
        <v>302</v>
      </c>
      <c r="E303" s="66">
        <v>625</v>
      </c>
      <c r="F303" s="85">
        <v>45397</v>
      </c>
      <c r="G303" s="64" t="s">
        <v>190</v>
      </c>
      <c r="H303"/>
      <c r="I303"/>
    </row>
    <row r="304" spans="1:9" x14ac:dyDescent="0.35">
      <c r="A304" s="71">
        <f t="shared" si="9"/>
        <v>33491.599999999977</v>
      </c>
      <c r="B304" s="72">
        <f t="shared" si="8"/>
        <v>1950</v>
      </c>
      <c r="C304" s="70">
        <v>303</v>
      </c>
      <c r="D304" s="65">
        <v>3500</v>
      </c>
      <c r="E304" s="66">
        <v>1550</v>
      </c>
      <c r="F304" s="85">
        <v>45396</v>
      </c>
      <c r="G304" s="64" t="s">
        <v>191</v>
      </c>
      <c r="H304"/>
      <c r="I304"/>
    </row>
    <row r="305" spans="1:9" x14ac:dyDescent="0.35">
      <c r="A305" s="71">
        <f t="shared" si="9"/>
        <v>33181.599999999977</v>
      </c>
      <c r="B305" s="72">
        <f t="shared" si="8"/>
        <v>-310</v>
      </c>
      <c r="C305" s="70">
        <v>304</v>
      </c>
      <c r="E305" s="66">
        <v>310</v>
      </c>
      <c r="F305" s="85">
        <v>45398</v>
      </c>
      <c r="G305" s="64" t="s">
        <v>177</v>
      </c>
      <c r="H305"/>
      <c r="I305"/>
    </row>
    <row r="306" spans="1:9" x14ac:dyDescent="0.35">
      <c r="A306" s="71">
        <f t="shared" si="9"/>
        <v>38121.599999999977</v>
      </c>
      <c r="B306" s="72">
        <f t="shared" si="8"/>
        <v>4940</v>
      </c>
      <c r="C306" s="70">
        <v>305</v>
      </c>
      <c r="D306" s="65">
        <v>5000</v>
      </c>
      <c r="E306" s="66">
        <v>60</v>
      </c>
      <c r="F306" s="85">
        <v>45398</v>
      </c>
      <c r="G306" s="64" t="s">
        <v>129</v>
      </c>
      <c r="H306"/>
      <c r="I306"/>
    </row>
    <row r="307" spans="1:9" x14ac:dyDescent="0.35">
      <c r="A307" s="71">
        <f t="shared" si="9"/>
        <v>37801.599999999977</v>
      </c>
      <c r="B307" s="72">
        <f t="shared" si="8"/>
        <v>-320</v>
      </c>
      <c r="C307" s="70">
        <v>306</v>
      </c>
      <c r="E307" s="66">
        <v>320</v>
      </c>
      <c r="F307" s="85">
        <v>45398</v>
      </c>
      <c r="G307" s="64" t="s">
        <v>75</v>
      </c>
      <c r="H307"/>
      <c r="I307"/>
    </row>
    <row r="308" spans="1:9" x14ac:dyDescent="0.35">
      <c r="A308" s="71">
        <f t="shared" si="9"/>
        <v>34801.599999999977</v>
      </c>
      <c r="B308" s="72">
        <f t="shared" si="8"/>
        <v>-3000</v>
      </c>
      <c r="C308" s="70">
        <v>307</v>
      </c>
      <c r="E308" s="66">
        <v>3000</v>
      </c>
      <c r="F308" s="85">
        <v>45399</v>
      </c>
      <c r="G308" s="64" t="s">
        <v>193</v>
      </c>
      <c r="H308"/>
      <c r="I308"/>
    </row>
    <row r="309" spans="1:9" x14ac:dyDescent="0.35">
      <c r="A309" s="71">
        <f t="shared" si="9"/>
        <v>44467.599999999977</v>
      </c>
      <c r="B309" s="72">
        <f t="shared" si="8"/>
        <v>9666</v>
      </c>
      <c r="C309" s="70">
        <v>308</v>
      </c>
      <c r="D309" s="65">
        <v>9740</v>
      </c>
      <c r="E309" s="66">
        <v>74</v>
      </c>
      <c r="F309" s="85">
        <v>45399</v>
      </c>
      <c r="G309" s="64" t="s">
        <v>194</v>
      </c>
      <c r="H309"/>
      <c r="I309"/>
    </row>
    <row r="310" spans="1:9" x14ac:dyDescent="0.35">
      <c r="A310" s="71">
        <f t="shared" si="9"/>
        <v>44348.599999999977</v>
      </c>
      <c r="B310" s="72">
        <f t="shared" si="8"/>
        <v>-119</v>
      </c>
      <c r="C310" s="70">
        <v>309</v>
      </c>
      <c r="E310" s="66">
        <v>119</v>
      </c>
      <c r="F310" s="85">
        <v>45399</v>
      </c>
      <c r="G310" s="64" t="s">
        <v>195</v>
      </c>
      <c r="H310"/>
      <c r="I310"/>
    </row>
    <row r="311" spans="1:9" x14ac:dyDescent="0.35">
      <c r="A311" s="71">
        <f t="shared" si="9"/>
        <v>44288.599999999977</v>
      </c>
      <c r="B311" s="72">
        <f t="shared" si="8"/>
        <v>-60</v>
      </c>
      <c r="C311" s="70">
        <v>310</v>
      </c>
      <c r="E311" s="66">
        <v>60</v>
      </c>
      <c r="F311" s="85">
        <v>45399</v>
      </c>
      <c r="G311" s="64" t="s">
        <v>80</v>
      </c>
      <c r="H311"/>
      <c r="I311"/>
    </row>
    <row r="312" spans="1:9" x14ac:dyDescent="0.35">
      <c r="A312" s="71">
        <f t="shared" si="9"/>
        <v>44088.599999999977</v>
      </c>
      <c r="B312" s="72">
        <f t="shared" si="8"/>
        <v>-200</v>
      </c>
      <c r="C312" s="70">
        <v>311</v>
      </c>
      <c r="E312" s="66">
        <v>200</v>
      </c>
      <c r="F312" s="85">
        <v>45400</v>
      </c>
      <c r="G312" s="64" t="s">
        <v>196</v>
      </c>
      <c r="H312"/>
      <c r="I312"/>
    </row>
    <row r="313" spans="1:9" x14ac:dyDescent="0.35">
      <c r="A313" s="71">
        <f t="shared" si="9"/>
        <v>45718.599999999977</v>
      </c>
      <c r="B313" s="72">
        <f t="shared" si="8"/>
        <v>1630</v>
      </c>
      <c r="C313" s="70">
        <v>312</v>
      </c>
      <c r="D313" s="65">
        <v>1690</v>
      </c>
      <c r="E313" s="66">
        <v>60</v>
      </c>
      <c r="F313" s="85">
        <v>45400</v>
      </c>
      <c r="G313" s="64" t="s">
        <v>58</v>
      </c>
      <c r="H313"/>
      <c r="I313"/>
    </row>
    <row r="314" spans="1:9" x14ac:dyDescent="0.35">
      <c r="A314" s="71">
        <f t="shared" si="9"/>
        <v>43768.599999999977</v>
      </c>
      <c r="B314" s="72">
        <f t="shared" si="8"/>
        <v>-1950</v>
      </c>
      <c r="C314" s="70">
        <v>313</v>
      </c>
      <c r="E314" s="66">
        <v>1950</v>
      </c>
      <c r="F314" s="85">
        <v>45400</v>
      </c>
      <c r="G314" s="64" t="s">
        <v>197</v>
      </c>
      <c r="H314"/>
      <c r="I314"/>
    </row>
    <row r="315" spans="1:9" x14ac:dyDescent="0.35">
      <c r="A315" s="71">
        <f t="shared" si="9"/>
        <v>41888.599999999977</v>
      </c>
      <c r="B315" s="72">
        <f t="shared" si="8"/>
        <v>-1880</v>
      </c>
      <c r="C315" s="70">
        <v>314</v>
      </c>
      <c r="E315" s="66">
        <v>1880</v>
      </c>
      <c r="F315" s="85">
        <v>45400</v>
      </c>
      <c r="G315" s="64" t="s">
        <v>198</v>
      </c>
      <c r="H315"/>
      <c r="I315"/>
    </row>
    <row r="316" spans="1:9" x14ac:dyDescent="0.35">
      <c r="A316" s="71">
        <f t="shared" si="9"/>
        <v>40638.599999999977</v>
      </c>
      <c r="B316" s="72">
        <f t="shared" si="8"/>
        <v>-1250</v>
      </c>
      <c r="C316" s="70">
        <v>315</v>
      </c>
      <c r="E316" s="66">
        <v>1250</v>
      </c>
      <c r="F316" s="85">
        <v>45400</v>
      </c>
      <c r="G316" s="64" t="s">
        <v>199</v>
      </c>
      <c r="H316"/>
      <c r="I316"/>
    </row>
    <row r="317" spans="1:9" x14ac:dyDescent="0.35">
      <c r="A317" s="71">
        <f t="shared" si="9"/>
        <v>41098.599999999977</v>
      </c>
      <c r="B317" s="72">
        <f t="shared" si="8"/>
        <v>460</v>
      </c>
      <c r="C317" s="70">
        <v>316</v>
      </c>
      <c r="D317" s="65">
        <v>520</v>
      </c>
      <c r="E317" s="66">
        <v>60</v>
      </c>
      <c r="F317" s="85">
        <v>45402</v>
      </c>
      <c r="G317" s="64" t="s">
        <v>127</v>
      </c>
      <c r="H317"/>
      <c r="I317"/>
    </row>
    <row r="318" spans="1:9" x14ac:dyDescent="0.35">
      <c r="A318" s="71">
        <f t="shared" si="9"/>
        <v>41093.599999999977</v>
      </c>
      <c r="B318" s="72">
        <f t="shared" si="8"/>
        <v>-5</v>
      </c>
      <c r="C318" s="70">
        <v>317</v>
      </c>
      <c r="E318" s="66">
        <v>5</v>
      </c>
      <c r="F318" s="85">
        <v>45402</v>
      </c>
      <c r="G318" s="64" t="s">
        <v>200</v>
      </c>
      <c r="H318"/>
      <c r="I318"/>
    </row>
    <row r="319" spans="1:9" x14ac:dyDescent="0.35">
      <c r="A319" s="71">
        <f t="shared" si="9"/>
        <v>63903.599999999977</v>
      </c>
      <c r="B319" s="72">
        <f t="shared" si="8"/>
        <v>22810</v>
      </c>
      <c r="C319" s="70">
        <v>318</v>
      </c>
      <c r="D319" s="65">
        <v>22810</v>
      </c>
      <c r="F319" s="85">
        <v>45403</v>
      </c>
      <c r="G319" s="64" t="s">
        <v>12</v>
      </c>
      <c r="H319"/>
      <c r="I319"/>
    </row>
    <row r="320" spans="1:9" x14ac:dyDescent="0.35">
      <c r="A320" s="71">
        <f t="shared" si="9"/>
        <v>60903.599999999977</v>
      </c>
      <c r="B320" s="72">
        <f t="shared" si="8"/>
        <v>-3000</v>
      </c>
      <c r="C320" s="70">
        <v>319</v>
      </c>
      <c r="E320" s="66">
        <v>3000</v>
      </c>
      <c r="F320" s="85">
        <v>45403</v>
      </c>
      <c r="G320" s="64" t="s">
        <v>201</v>
      </c>
      <c r="H320"/>
      <c r="I320"/>
    </row>
    <row r="321" spans="1:9" x14ac:dyDescent="0.35">
      <c r="A321" s="71">
        <f t="shared" si="9"/>
        <v>50903.599999999977</v>
      </c>
      <c r="B321" s="72">
        <f t="shared" si="8"/>
        <v>-10000</v>
      </c>
      <c r="C321" s="70">
        <v>320</v>
      </c>
      <c r="E321" s="66">
        <v>10000</v>
      </c>
      <c r="F321" s="85">
        <v>45403</v>
      </c>
      <c r="G321" s="64" t="s">
        <v>203</v>
      </c>
      <c r="H321"/>
      <c r="I321"/>
    </row>
    <row r="322" spans="1:9" x14ac:dyDescent="0.35">
      <c r="A322" s="71">
        <f t="shared" si="9"/>
        <v>50888.599999999977</v>
      </c>
      <c r="B322" s="72">
        <f t="shared" si="8"/>
        <v>-15</v>
      </c>
      <c r="C322" s="70">
        <v>321</v>
      </c>
      <c r="E322" s="66">
        <v>15</v>
      </c>
      <c r="F322" s="85">
        <v>45403</v>
      </c>
      <c r="G322" s="64" t="s">
        <v>204</v>
      </c>
      <c r="H322"/>
      <c r="I322"/>
    </row>
    <row r="323" spans="1:9" x14ac:dyDescent="0.35">
      <c r="A323" s="71">
        <f t="shared" si="9"/>
        <v>50828.599999999977</v>
      </c>
      <c r="B323" s="72">
        <f t="shared" ref="B323:B386" si="10">SUM(D323-E323)</f>
        <v>-60</v>
      </c>
      <c r="C323" s="70">
        <v>322</v>
      </c>
      <c r="E323" s="66">
        <v>60</v>
      </c>
      <c r="F323" s="85">
        <v>45403</v>
      </c>
      <c r="G323" s="64" t="s">
        <v>62</v>
      </c>
      <c r="H323"/>
      <c r="I323"/>
    </row>
    <row r="324" spans="1:9" x14ac:dyDescent="0.35">
      <c r="A324" s="71">
        <f t="shared" ref="A324:A387" si="11">SUM(A323+B324)</f>
        <v>50603.599999999977</v>
      </c>
      <c r="B324" s="72">
        <f t="shared" si="10"/>
        <v>-225</v>
      </c>
      <c r="C324" s="70">
        <v>323</v>
      </c>
      <c r="E324" s="66">
        <v>225</v>
      </c>
      <c r="F324" s="85">
        <v>45403</v>
      </c>
      <c r="G324" s="64" t="s">
        <v>205</v>
      </c>
      <c r="H324"/>
      <c r="I324"/>
    </row>
    <row r="325" spans="1:9" x14ac:dyDescent="0.35">
      <c r="A325" s="71">
        <f t="shared" si="11"/>
        <v>53663.599999999977</v>
      </c>
      <c r="B325" s="72">
        <f t="shared" si="10"/>
        <v>3060</v>
      </c>
      <c r="C325" s="70">
        <v>324</v>
      </c>
      <c r="D325" s="65">
        <v>3160</v>
      </c>
      <c r="E325" s="66">
        <v>100</v>
      </c>
      <c r="F325" s="85">
        <v>45404</v>
      </c>
      <c r="G325" s="64" t="s">
        <v>207</v>
      </c>
      <c r="H325"/>
      <c r="I325"/>
    </row>
    <row r="326" spans="1:9" x14ac:dyDescent="0.35">
      <c r="A326" s="71">
        <f t="shared" si="11"/>
        <v>53343.599999999977</v>
      </c>
      <c r="B326" s="72">
        <f t="shared" si="10"/>
        <v>-320</v>
      </c>
      <c r="C326" s="70">
        <v>325</v>
      </c>
      <c r="E326" s="66">
        <v>320</v>
      </c>
      <c r="F326" s="85">
        <v>45404</v>
      </c>
      <c r="G326" s="64" t="s">
        <v>206</v>
      </c>
      <c r="H326"/>
      <c r="I326"/>
    </row>
    <row r="327" spans="1:9" x14ac:dyDescent="0.35">
      <c r="A327" s="71">
        <f t="shared" si="11"/>
        <v>69543.599999999977</v>
      </c>
      <c r="B327" s="72">
        <f t="shared" si="10"/>
        <v>16200</v>
      </c>
      <c r="C327" s="70">
        <v>326</v>
      </c>
      <c r="D327" s="65">
        <v>16200</v>
      </c>
      <c r="F327" s="85">
        <v>45405</v>
      </c>
      <c r="G327" s="64" t="s">
        <v>12</v>
      </c>
      <c r="H327"/>
      <c r="I327"/>
    </row>
    <row r="328" spans="1:9" x14ac:dyDescent="0.35">
      <c r="A328" s="71">
        <f t="shared" si="11"/>
        <v>65943.599999999977</v>
      </c>
      <c r="B328" s="72">
        <f t="shared" si="10"/>
        <v>-3600</v>
      </c>
      <c r="C328" s="70">
        <v>327</v>
      </c>
      <c r="E328" s="66">
        <v>3600</v>
      </c>
      <c r="F328" s="85">
        <v>45406</v>
      </c>
      <c r="G328" s="64" t="s">
        <v>208</v>
      </c>
      <c r="H328"/>
      <c r="I328"/>
    </row>
    <row r="329" spans="1:9" x14ac:dyDescent="0.35">
      <c r="A329" s="71">
        <f t="shared" si="11"/>
        <v>64943.599999999977</v>
      </c>
      <c r="B329" s="72">
        <f t="shared" si="10"/>
        <v>-1000</v>
      </c>
      <c r="C329" s="70">
        <v>328</v>
      </c>
      <c r="E329" s="66">
        <v>1000</v>
      </c>
      <c r="F329" s="85">
        <v>45406</v>
      </c>
      <c r="G329" s="64" t="s">
        <v>64</v>
      </c>
      <c r="H329"/>
      <c r="I329"/>
    </row>
    <row r="330" spans="1:9" x14ac:dyDescent="0.35">
      <c r="A330" s="71">
        <f t="shared" si="11"/>
        <v>64883.599999999977</v>
      </c>
      <c r="B330" s="72">
        <f t="shared" si="10"/>
        <v>-60</v>
      </c>
      <c r="C330" s="70">
        <v>329</v>
      </c>
      <c r="E330" s="66">
        <v>60</v>
      </c>
      <c r="F330" s="85">
        <v>45406</v>
      </c>
      <c r="G330" s="64" t="s">
        <v>125</v>
      </c>
      <c r="H330"/>
      <c r="I330"/>
    </row>
    <row r="331" spans="1:9" x14ac:dyDescent="0.35">
      <c r="A331" s="71">
        <f t="shared" si="11"/>
        <v>64083.599999999977</v>
      </c>
      <c r="B331" s="72">
        <f t="shared" si="10"/>
        <v>-800</v>
      </c>
      <c r="C331" s="70">
        <v>330</v>
      </c>
      <c r="E331" s="66">
        <v>800</v>
      </c>
      <c r="F331" s="85">
        <v>45406</v>
      </c>
      <c r="G331" s="64" t="s">
        <v>209</v>
      </c>
      <c r="H331"/>
      <c r="I331"/>
    </row>
    <row r="332" spans="1:9" x14ac:dyDescent="0.35">
      <c r="A332" s="71">
        <f t="shared" si="11"/>
        <v>83283.599999999977</v>
      </c>
      <c r="B332" s="72">
        <f t="shared" si="10"/>
        <v>19200</v>
      </c>
      <c r="C332" s="70">
        <v>331</v>
      </c>
      <c r="D332" s="65">
        <v>19230</v>
      </c>
      <c r="E332" s="66">
        <v>30</v>
      </c>
      <c r="F332" s="85">
        <v>45406</v>
      </c>
      <c r="G332" s="64" t="s">
        <v>210</v>
      </c>
      <c r="H332"/>
      <c r="I332"/>
    </row>
    <row r="333" spans="1:9" x14ac:dyDescent="0.35">
      <c r="A333" s="71">
        <f t="shared" si="11"/>
        <v>83223.599999999977</v>
      </c>
      <c r="B333" s="72">
        <f t="shared" si="10"/>
        <v>-60</v>
      </c>
      <c r="C333" s="70">
        <v>332</v>
      </c>
      <c r="E333" s="66">
        <v>60</v>
      </c>
      <c r="F333" s="85">
        <v>45406</v>
      </c>
      <c r="G333" s="64" t="s">
        <v>211</v>
      </c>
      <c r="H333"/>
      <c r="I333"/>
    </row>
    <row r="334" spans="1:9" x14ac:dyDescent="0.35">
      <c r="A334" s="71">
        <f t="shared" si="11"/>
        <v>83023.599999999977</v>
      </c>
      <c r="B334" s="72">
        <f t="shared" si="10"/>
        <v>-200</v>
      </c>
      <c r="C334" s="70">
        <v>333</v>
      </c>
      <c r="E334" s="66">
        <v>200</v>
      </c>
      <c r="F334" s="85">
        <v>45406</v>
      </c>
      <c r="G334" s="64" t="s">
        <v>215</v>
      </c>
      <c r="H334"/>
      <c r="I334"/>
    </row>
    <row r="335" spans="1:9" x14ac:dyDescent="0.35">
      <c r="A335" s="71">
        <f t="shared" si="11"/>
        <v>85333.599999999977</v>
      </c>
      <c r="B335" s="72">
        <f t="shared" si="10"/>
        <v>2310</v>
      </c>
      <c r="C335" s="70">
        <v>334</v>
      </c>
      <c r="D335" s="65">
        <v>2490</v>
      </c>
      <c r="E335" s="66">
        <v>180</v>
      </c>
      <c r="F335" s="85">
        <v>45407</v>
      </c>
      <c r="G335" s="64" t="s">
        <v>140</v>
      </c>
      <c r="H335"/>
      <c r="I335"/>
    </row>
    <row r="336" spans="1:9" x14ac:dyDescent="0.35">
      <c r="A336" s="71">
        <f t="shared" si="11"/>
        <v>91073.599999999977</v>
      </c>
      <c r="B336" s="72">
        <f t="shared" si="10"/>
        <v>5740</v>
      </c>
      <c r="C336" s="70">
        <v>335</v>
      </c>
      <c r="D336" s="65">
        <v>5840</v>
      </c>
      <c r="E336" s="66">
        <v>100</v>
      </c>
      <c r="F336" s="85">
        <v>45409</v>
      </c>
      <c r="G336" s="64" t="s">
        <v>212</v>
      </c>
      <c r="H336"/>
      <c r="I336"/>
    </row>
    <row r="337" spans="1:9" x14ac:dyDescent="0.35">
      <c r="A337" s="71">
        <f t="shared" si="11"/>
        <v>90273.599999999977</v>
      </c>
      <c r="B337" s="72">
        <f t="shared" si="10"/>
        <v>-800</v>
      </c>
      <c r="C337" s="70">
        <v>336</v>
      </c>
      <c r="E337" s="66">
        <v>800</v>
      </c>
      <c r="F337" s="85">
        <v>45410</v>
      </c>
      <c r="G337" s="64" t="s">
        <v>120</v>
      </c>
      <c r="H337"/>
      <c r="I337"/>
    </row>
    <row r="338" spans="1:9" x14ac:dyDescent="0.35">
      <c r="A338" s="71">
        <f t="shared" si="11"/>
        <v>89678.599999999977</v>
      </c>
      <c r="B338" s="72">
        <f t="shared" si="10"/>
        <v>-595</v>
      </c>
      <c r="C338" s="70">
        <v>337</v>
      </c>
      <c r="E338" s="66">
        <v>595</v>
      </c>
      <c r="F338" s="85">
        <v>45410</v>
      </c>
      <c r="G338" s="64" t="s">
        <v>214</v>
      </c>
      <c r="H338"/>
      <c r="I338"/>
    </row>
    <row r="339" spans="1:9" x14ac:dyDescent="0.35">
      <c r="A339" s="71">
        <f t="shared" si="11"/>
        <v>88478.599999999977</v>
      </c>
      <c r="B339" s="72">
        <f t="shared" si="10"/>
        <v>-1200</v>
      </c>
      <c r="C339" s="70">
        <v>338</v>
      </c>
      <c r="E339" s="66">
        <v>1200</v>
      </c>
      <c r="F339" s="85">
        <v>45410</v>
      </c>
      <c r="G339" s="64" t="s">
        <v>255</v>
      </c>
      <c r="H339"/>
      <c r="I339"/>
    </row>
    <row r="340" spans="1:9" x14ac:dyDescent="0.35">
      <c r="A340" s="71">
        <f t="shared" si="11"/>
        <v>113348.59999999998</v>
      </c>
      <c r="B340" s="72">
        <f t="shared" si="10"/>
        <v>24870</v>
      </c>
      <c r="C340" s="70">
        <v>339</v>
      </c>
      <c r="D340" s="65">
        <v>24870</v>
      </c>
      <c r="F340" s="85">
        <v>45410</v>
      </c>
      <c r="G340" s="64" t="s">
        <v>12</v>
      </c>
      <c r="H340"/>
      <c r="I340"/>
    </row>
    <row r="341" spans="1:9" x14ac:dyDescent="0.35">
      <c r="A341" s="71">
        <f t="shared" si="11"/>
        <v>115958.59999999998</v>
      </c>
      <c r="B341" s="72">
        <f t="shared" si="10"/>
        <v>2610</v>
      </c>
      <c r="C341" s="70">
        <v>340</v>
      </c>
      <c r="D341" s="65">
        <v>2670</v>
      </c>
      <c r="E341" s="66">
        <v>60</v>
      </c>
      <c r="F341" s="85">
        <v>45411</v>
      </c>
      <c r="G341" s="64" t="s">
        <v>216</v>
      </c>
      <c r="H341"/>
      <c r="I341"/>
    </row>
    <row r="342" spans="1:9" x14ac:dyDescent="0.35">
      <c r="A342" s="71">
        <f t="shared" si="11"/>
        <v>115985.59999999998</v>
      </c>
      <c r="B342" s="72">
        <f t="shared" si="10"/>
        <v>27</v>
      </c>
      <c r="C342" s="70">
        <v>341</v>
      </c>
      <c r="D342" s="65">
        <v>27</v>
      </c>
      <c r="F342" s="85">
        <v>45412</v>
      </c>
      <c r="G342" s="64" t="s">
        <v>217</v>
      </c>
      <c r="H342"/>
      <c r="I342"/>
    </row>
    <row r="343" spans="1:9" x14ac:dyDescent="0.35">
      <c r="A343" s="71">
        <f t="shared" si="11"/>
        <v>144195.59999999998</v>
      </c>
      <c r="B343" s="72">
        <f t="shared" si="10"/>
        <v>28210</v>
      </c>
      <c r="C343" s="70">
        <v>342</v>
      </c>
      <c r="D343" s="65">
        <v>28210</v>
      </c>
      <c r="F343" s="85">
        <v>45412</v>
      </c>
      <c r="G343" s="64" t="s">
        <v>12</v>
      </c>
      <c r="H343"/>
      <c r="I343"/>
    </row>
    <row r="344" spans="1:9" x14ac:dyDescent="0.35">
      <c r="A344" s="71">
        <f t="shared" si="11"/>
        <v>143645.59999999998</v>
      </c>
      <c r="B344" s="72">
        <f t="shared" si="10"/>
        <v>-550</v>
      </c>
      <c r="C344" s="70">
        <v>343</v>
      </c>
      <c r="E344" s="66">
        <v>550</v>
      </c>
      <c r="F344" s="85">
        <v>45412</v>
      </c>
      <c r="G344" s="64" t="s">
        <v>220</v>
      </c>
      <c r="H344"/>
      <c r="I344"/>
    </row>
    <row r="345" spans="1:9" x14ac:dyDescent="0.35">
      <c r="A345" s="71">
        <f t="shared" si="11"/>
        <v>145805.59999999998</v>
      </c>
      <c r="B345" s="72">
        <f t="shared" si="10"/>
        <v>2160</v>
      </c>
      <c r="C345" s="70">
        <v>344</v>
      </c>
      <c r="D345" s="65">
        <v>2160</v>
      </c>
      <c r="F345" s="85">
        <v>45412</v>
      </c>
      <c r="G345" s="64" t="s">
        <v>319</v>
      </c>
      <c r="H345"/>
      <c r="I345"/>
    </row>
    <row r="346" spans="1:9" x14ac:dyDescent="0.35">
      <c r="A346" s="71">
        <f t="shared" si="11"/>
        <v>85975.599999999977</v>
      </c>
      <c r="B346" s="72">
        <f t="shared" si="10"/>
        <v>-59830</v>
      </c>
      <c r="C346" s="70">
        <v>345</v>
      </c>
      <c r="E346" s="66">
        <v>59830</v>
      </c>
      <c r="F346" s="85">
        <v>45413</v>
      </c>
      <c r="G346" s="64" t="s">
        <v>218</v>
      </c>
      <c r="H346"/>
      <c r="I346"/>
    </row>
    <row r="347" spans="1:9" x14ac:dyDescent="0.35">
      <c r="A347" s="71">
        <f t="shared" si="11"/>
        <v>72275.599999999977</v>
      </c>
      <c r="B347" s="72">
        <f t="shared" si="10"/>
        <v>-13700</v>
      </c>
      <c r="C347" s="70">
        <v>346</v>
      </c>
      <c r="E347" s="66">
        <v>13700</v>
      </c>
      <c r="F347" s="85">
        <v>45413</v>
      </c>
      <c r="G347" s="64" t="s">
        <v>146</v>
      </c>
      <c r="H347"/>
      <c r="I347"/>
    </row>
    <row r="348" spans="1:9" x14ac:dyDescent="0.35">
      <c r="A348" s="71">
        <f t="shared" si="11"/>
        <v>70825.599999999977</v>
      </c>
      <c r="B348" s="72">
        <f t="shared" si="10"/>
        <v>-1450</v>
      </c>
      <c r="C348" s="70">
        <v>347</v>
      </c>
      <c r="E348" s="66">
        <v>1450</v>
      </c>
      <c r="F348" s="85">
        <v>45413</v>
      </c>
      <c r="G348" s="64" t="s">
        <v>219</v>
      </c>
      <c r="H348"/>
      <c r="I348"/>
    </row>
    <row r="349" spans="1:9" x14ac:dyDescent="0.35">
      <c r="A349" s="71">
        <f t="shared" si="11"/>
        <v>71025.599999999977</v>
      </c>
      <c r="B349" s="72">
        <f t="shared" si="10"/>
        <v>200</v>
      </c>
      <c r="C349" s="70">
        <v>348</v>
      </c>
      <c r="D349" s="65">
        <v>200</v>
      </c>
      <c r="F349" s="85">
        <v>45413</v>
      </c>
      <c r="G349" s="64" t="s">
        <v>221</v>
      </c>
      <c r="H349"/>
      <c r="I349"/>
    </row>
    <row r="350" spans="1:9" x14ac:dyDescent="0.35">
      <c r="A350" s="71">
        <f t="shared" si="11"/>
        <v>70025.599999999977</v>
      </c>
      <c r="B350" s="72">
        <f t="shared" si="10"/>
        <v>-1000</v>
      </c>
      <c r="C350" s="70">
        <v>349</v>
      </c>
      <c r="E350" s="66">
        <v>1000</v>
      </c>
      <c r="F350" s="85">
        <v>45413</v>
      </c>
      <c r="G350" s="64" t="s">
        <v>222</v>
      </c>
      <c r="H350"/>
      <c r="I350"/>
    </row>
    <row r="351" spans="1:9" x14ac:dyDescent="0.35">
      <c r="A351" s="71">
        <f t="shared" si="11"/>
        <v>98455.599999999977</v>
      </c>
      <c r="B351" s="72">
        <f t="shared" si="10"/>
        <v>28430</v>
      </c>
      <c r="C351" s="70">
        <v>350</v>
      </c>
      <c r="D351" s="65">
        <v>28470</v>
      </c>
      <c r="E351" s="66">
        <v>40</v>
      </c>
      <c r="F351" s="85">
        <v>45413</v>
      </c>
      <c r="G351" s="64" t="s">
        <v>223</v>
      </c>
      <c r="H351"/>
      <c r="I351"/>
    </row>
    <row r="352" spans="1:9" x14ac:dyDescent="0.35">
      <c r="A352" s="71">
        <f t="shared" si="11"/>
        <v>74255.599999999977</v>
      </c>
      <c r="B352" s="72">
        <f t="shared" si="10"/>
        <v>-24200</v>
      </c>
      <c r="C352" s="70">
        <v>351</v>
      </c>
      <c r="E352" s="66">
        <v>24200</v>
      </c>
      <c r="F352" s="85">
        <v>45414</v>
      </c>
      <c r="G352" s="64" t="s">
        <v>15</v>
      </c>
      <c r="H352"/>
      <c r="I352"/>
    </row>
    <row r="353" spans="1:9" x14ac:dyDescent="0.35">
      <c r="A353" s="71">
        <f t="shared" si="11"/>
        <v>75705.599999999977</v>
      </c>
      <c r="B353" s="72">
        <f t="shared" si="10"/>
        <v>1450</v>
      </c>
      <c r="C353" s="70">
        <v>352</v>
      </c>
      <c r="D353" s="65">
        <v>1570</v>
      </c>
      <c r="E353" s="66">
        <v>120</v>
      </c>
      <c r="F353" s="85">
        <v>45414</v>
      </c>
      <c r="G353" s="64" t="s">
        <v>39</v>
      </c>
      <c r="H353"/>
      <c r="I353"/>
    </row>
    <row r="354" spans="1:9" x14ac:dyDescent="0.35">
      <c r="A354" s="71">
        <f t="shared" si="11"/>
        <v>75525.599999999977</v>
      </c>
      <c r="B354" s="72">
        <f t="shared" si="10"/>
        <v>-180</v>
      </c>
      <c r="C354" s="70">
        <v>353</v>
      </c>
      <c r="E354" s="66">
        <v>180</v>
      </c>
      <c r="F354" s="85">
        <v>45414</v>
      </c>
      <c r="G354" s="64" t="s">
        <v>31</v>
      </c>
      <c r="H354"/>
      <c r="I354"/>
    </row>
    <row r="355" spans="1:9" x14ac:dyDescent="0.35">
      <c r="A355" s="71">
        <f t="shared" si="11"/>
        <v>75435.599999999977</v>
      </c>
      <c r="B355" s="72">
        <f t="shared" si="10"/>
        <v>-90</v>
      </c>
      <c r="C355" s="70">
        <v>354</v>
      </c>
      <c r="E355" s="66">
        <v>90</v>
      </c>
      <c r="F355" s="85">
        <v>45414</v>
      </c>
      <c r="G355" s="64" t="s">
        <v>0</v>
      </c>
      <c r="H355"/>
      <c r="I355"/>
    </row>
    <row r="356" spans="1:9" x14ac:dyDescent="0.35">
      <c r="A356" s="71">
        <f t="shared" si="11"/>
        <v>63435.599999999977</v>
      </c>
      <c r="B356" s="72">
        <f t="shared" si="10"/>
        <v>-12000</v>
      </c>
      <c r="C356" s="70">
        <v>355</v>
      </c>
      <c r="E356" s="66">
        <v>12000</v>
      </c>
      <c r="F356" s="85">
        <v>45416</v>
      </c>
      <c r="G356" s="64" t="s">
        <v>16</v>
      </c>
      <c r="H356"/>
      <c r="I356"/>
    </row>
    <row r="357" spans="1:9" x14ac:dyDescent="0.35">
      <c r="A357" s="71">
        <f t="shared" si="11"/>
        <v>70815.599999999977</v>
      </c>
      <c r="B357" s="72">
        <f t="shared" si="10"/>
        <v>7380</v>
      </c>
      <c r="C357" s="70">
        <v>356</v>
      </c>
      <c r="D357" s="65">
        <v>7380</v>
      </c>
      <c r="F357" s="85">
        <v>45416</v>
      </c>
      <c r="G357" s="64" t="s">
        <v>12</v>
      </c>
      <c r="H357"/>
      <c r="I357"/>
    </row>
    <row r="358" spans="1:9" x14ac:dyDescent="0.35">
      <c r="A358" s="71">
        <f t="shared" si="11"/>
        <v>70595.599999999977</v>
      </c>
      <c r="B358" s="72">
        <f t="shared" si="10"/>
        <v>-220</v>
      </c>
      <c r="C358" s="70">
        <v>357</v>
      </c>
      <c r="E358" s="66">
        <v>220</v>
      </c>
      <c r="F358" s="85">
        <v>45416</v>
      </c>
      <c r="G358" s="64" t="s">
        <v>50</v>
      </c>
      <c r="H358"/>
      <c r="I358"/>
    </row>
    <row r="359" spans="1:9" x14ac:dyDescent="0.35">
      <c r="A359" s="71">
        <f t="shared" si="11"/>
        <v>70495.599999999977</v>
      </c>
      <c r="B359" s="72">
        <f t="shared" si="10"/>
        <v>-100</v>
      </c>
      <c r="C359" s="70">
        <v>358</v>
      </c>
      <c r="E359" s="66">
        <v>100</v>
      </c>
      <c r="F359" s="85">
        <v>45416</v>
      </c>
      <c r="G359" s="64" t="s">
        <v>224</v>
      </c>
      <c r="H359"/>
      <c r="I359"/>
    </row>
    <row r="360" spans="1:9" x14ac:dyDescent="0.35">
      <c r="A360" s="71">
        <f t="shared" si="11"/>
        <v>85545.599999999977</v>
      </c>
      <c r="B360" s="72">
        <f t="shared" si="10"/>
        <v>15050</v>
      </c>
      <c r="C360" s="70">
        <v>359</v>
      </c>
      <c r="D360" s="65">
        <v>15050</v>
      </c>
      <c r="F360" s="85">
        <v>45387</v>
      </c>
      <c r="G360" s="64" t="s">
        <v>12</v>
      </c>
      <c r="H360"/>
      <c r="I360"/>
    </row>
    <row r="361" spans="1:9" x14ac:dyDescent="0.35">
      <c r="A361" s="71">
        <f t="shared" si="11"/>
        <v>82795.599999999977</v>
      </c>
      <c r="B361" s="72">
        <f t="shared" si="10"/>
        <v>-2750</v>
      </c>
      <c r="C361" s="70">
        <v>360</v>
      </c>
      <c r="E361" s="66">
        <v>2750</v>
      </c>
      <c r="F361" s="85">
        <v>45417</v>
      </c>
      <c r="G361" s="64" t="s">
        <v>225</v>
      </c>
      <c r="H361"/>
      <c r="I361"/>
    </row>
    <row r="362" spans="1:9" x14ac:dyDescent="0.35">
      <c r="A362" s="71">
        <f t="shared" si="11"/>
        <v>65295.599999999977</v>
      </c>
      <c r="B362" s="72">
        <f t="shared" si="10"/>
        <v>-17500</v>
      </c>
      <c r="C362" s="70">
        <v>361</v>
      </c>
      <c r="E362" s="66">
        <v>17500</v>
      </c>
      <c r="F362" s="85">
        <v>45419</v>
      </c>
      <c r="G362" s="64" t="s">
        <v>17</v>
      </c>
      <c r="H362"/>
      <c r="I362"/>
    </row>
    <row r="363" spans="1:9" x14ac:dyDescent="0.35">
      <c r="A363" s="71">
        <f t="shared" si="11"/>
        <v>64885.599999999977</v>
      </c>
      <c r="B363" s="72">
        <f t="shared" si="10"/>
        <v>-410</v>
      </c>
      <c r="C363" s="70">
        <v>362</v>
      </c>
      <c r="E363" s="66">
        <v>410</v>
      </c>
      <c r="F363" s="85">
        <v>45419</v>
      </c>
      <c r="G363" s="64" t="s">
        <v>94</v>
      </c>
      <c r="H363"/>
      <c r="I363"/>
    </row>
    <row r="364" spans="1:9" x14ac:dyDescent="0.35">
      <c r="A364" s="71">
        <f t="shared" si="11"/>
        <v>64675.599999999977</v>
      </c>
      <c r="B364" s="72">
        <f t="shared" si="10"/>
        <v>-210</v>
      </c>
      <c r="C364" s="70">
        <v>363</v>
      </c>
      <c r="E364" s="66">
        <v>210</v>
      </c>
      <c r="F364" s="85">
        <v>45419</v>
      </c>
      <c r="G364" s="64" t="s">
        <v>1</v>
      </c>
      <c r="H364"/>
      <c r="I364"/>
    </row>
    <row r="365" spans="1:9" x14ac:dyDescent="0.35">
      <c r="A365" s="71">
        <f t="shared" si="11"/>
        <v>82155.599999999977</v>
      </c>
      <c r="B365" s="72">
        <f t="shared" si="10"/>
        <v>17480</v>
      </c>
      <c r="C365" s="70">
        <v>364</v>
      </c>
      <c r="D365" s="65">
        <v>17480</v>
      </c>
      <c r="F365" s="85">
        <v>45419</v>
      </c>
      <c r="G365" s="64" t="s">
        <v>12</v>
      </c>
      <c r="H365"/>
      <c r="I365"/>
    </row>
    <row r="366" spans="1:9" x14ac:dyDescent="0.35">
      <c r="A366" s="71">
        <f t="shared" si="11"/>
        <v>75955.599999999977</v>
      </c>
      <c r="B366" s="72">
        <f t="shared" si="10"/>
        <v>-6200</v>
      </c>
      <c r="C366" s="70">
        <v>365</v>
      </c>
      <c r="E366" s="66">
        <v>6200</v>
      </c>
      <c r="F366" s="85">
        <v>45419</v>
      </c>
      <c r="G366" s="64" t="s">
        <v>227</v>
      </c>
      <c r="H366"/>
      <c r="I366"/>
    </row>
    <row r="367" spans="1:9" x14ac:dyDescent="0.35">
      <c r="A367" s="71">
        <f t="shared" si="11"/>
        <v>74255.599999999977</v>
      </c>
      <c r="B367" s="72">
        <f t="shared" si="10"/>
        <v>-1700</v>
      </c>
      <c r="C367" s="70">
        <v>366</v>
      </c>
      <c r="E367" s="66">
        <v>1700</v>
      </c>
      <c r="F367" s="85">
        <v>45419</v>
      </c>
      <c r="G367" s="64" t="s">
        <v>226</v>
      </c>
      <c r="H367"/>
      <c r="I367"/>
    </row>
    <row r="368" spans="1:9" x14ac:dyDescent="0.35">
      <c r="A368" s="71">
        <f t="shared" si="11"/>
        <v>87025.599999999977</v>
      </c>
      <c r="B368" s="72">
        <f t="shared" si="10"/>
        <v>12770</v>
      </c>
      <c r="C368" s="70">
        <v>367</v>
      </c>
      <c r="D368" s="65">
        <v>12770</v>
      </c>
      <c r="F368" s="85">
        <v>45420</v>
      </c>
      <c r="G368" s="64" t="s">
        <v>12</v>
      </c>
      <c r="H368"/>
      <c r="I368"/>
    </row>
    <row r="369" spans="1:9" x14ac:dyDescent="0.35">
      <c r="A369" s="71">
        <f t="shared" si="11"/>
        <v>70525.599999999977</v>
      </c>
      <c r="B369" s="72">
        <f t="shared" si="10"/>
        <v>-16500</v>
      </c>
      <c r="C369" s="70">
        <v>368</v>
      </c>
      <c r="E369" s="66">
        <v>16500</v>
      </c>
      <c r="F369" s="85">
        <v>45420</v>
      </c>
      <c r="G369" s="64" t="s">
        <v>119</v>
      </c>
      <c r="H369"/>
      <c r="I369"/>
    </row>
    <row r="370" spans="1:9" x14ac:dyDescent="0.35">
      <c r="A370" s="71">
        <f t="shared" si="11"/>
        <v>65525.599999999977</v>
      </c>
      <c r="B370" s="72">
        <f t="shared" si="10"/>
        <v>-5000</v>
      </c>
      <c r="C370" s="70">
        <v>369</v>
      </c>
      <c r="E370" s="66">
        <v>5000</v>
      </c>
      <c r="F370" s="85">
        <v>45420</v>
      </c>
      <c r="G370" s="64" t="s">
        <v>228</v>
      </c>
      <c r="H370"/>
      <c r="I370"/>
    </row>
    <row r="371" spans="1:9" x14ac:dyDescent="0.35">
      <c r="A371" s="71">
        <f t="shared" si="11"/>
        <v>65225.599999999977</v>
      </c>
      <c r="B371" s="72">
        <f t="shared" si="10"/>
        <v>-300</v>
      </c>
      <c r="C371" s="70">
        <v>370</v>
      </c>
      <c r="E371" s="66">
        <v>300</v>
      </c>
      <c r="F371" s="85">
        <v>45420</v>
      </c>
      <c r="G371" s="64" t="s">
        <v>229</v>
      </c>
      <c r="H371"/>
      <c r="I371"/>
    </row>
    <row r="372" spans="1:9" x14ac:dyDescent="0.35">
      <c r="A372" s="71">
        <f t="shared" si="11"/>
        <v>65109.599999999977</v>
      </c>
      <c r="B372" s="72">
        <f t="shared" si="10"/>
        <v>-116</v>
      </c>
      <c r="C372" s="70">
        <v>371</v>
      </c>
      <c r="E372" s="66">
        <v>116</v>
      </c>
      <c r="F372" s="85">
        <v>45420</v>
      </c>
      <c r="G372" s="64" t="s">
        <v>230</v>
      </c>
      <c r="H372"/>
      <c r="I372"/>
    </row>
    <row r="373" spans="1:9" x14ac:dyDescent="0.35">
      <c r="A373" s="71">
        <f t="shared" si="11"/>
        <v>39371.599999999977</v>
      </c>
      <c r="B373" s="72">
        <f t="shared" si="10"/>
        <v>-25738</v>
      </c>
      <c r="C373" s="70">
        <v>372</v>
      </c>
      <c r="E373" s="66">
        <v>25738</v>
      </c>
      <c r="F373" s="85">
        <v>45421</v>
      </c>
      <c r="G373" s="64" t="s">
        <v>18</v>
      </c>
      <c r="H373"/>
      <c r="I373"/>
    </row>
    <row r="374" spans="1:9" x14ac:dyDescent="0.35">
      <c r="A374" s="71">
        <f t="shared" si="11"/>
        <v>29371.599999999977</v>
      </c>
      <c r="B374" s="72">
        <f t="shared" si="10"/>
        <v>-10000</v>
      </c>
      <c r="C374" s="70">
        <v>373</v>
      </c>
      <c r="E374" s="66">
        <v>10000</v>
      </c>
      <c r="F374" s="85">
        <v>45421</v>
      </c>
      <c r="G374" s="64" t="s">
        <v>231</v>
      </c>
      <c r="H374"/>
      <c r="I374"/>
    </row>
    <row r="375" spans="1:9" x14ac:dyDescent="0.35">
      <c r="A375" s="71">
        <f t="shared" si="11"/>
        <v>31271.599999999977</v>
      </c>
      <c r="B375" s="72">
        <f t="shared" si="10"/>
        <v>1900</v>
      </c>
      <c r="C375" s="70">
        <v>374</v>
      </c>
      <c r="D375" s="65">
        <v>1960</v>
      </c>
      <c r="E375" s="66">
        <v>60</v>
      </c>
      <c r="F375" s="85">
        <v>45421</v>
      </c>
      <c r="G375" s="64" t="s">
        <v>100</v>
      </c>
      <c r="H375"/>
      <c r="I375"/>
    </row>
    <row r="376" spans="1:9" x14ac:dyDescent="0.35">
      <c r="A376" s="71">
        <f t="shared" si="11"/>
        <v>31211.599999999977</v>
      </c>
      <c r="B376" s="72">
        <f t="shared" si="10"/>
        <v>-60</v>
      </c>
      <c r="C376" s="70">
        <v>375</v>
      </c>
      <c r="E376" s="66">
        <v>60</v>
      </c>
      <c r="F376" s="85">
        <v>45421</v>
      </c>
      <c r="G376" s="64" t="s">
        <v>113</v>
      </c>
      <c r="H376"/>
      <c r="I376"/>
    </row>
    <row r="377" spans="1:9" x14ac:dyDescent="0.35">
      <c r="A377" s="71">
        <f t="shared" si="11"/>
        <v>36281.599999999977</v>
      </c>
      <c r="B377" s="72">
        <f t="shared" si="10"/>
        <v>5070</v>
      </c>
      <c r="C377" s="70">
        <v>376</v>
      </c>
      <c r="D377" s="65">
        <v>8470</v>
      </c>
      <c r="E377" s="66">
        <v>3400</v>
      </c>
      <c r="F377" s="85">
        <v>45423</v>
      </c>
      <c r="G377" s="64" t="s">
        <v>232</v>
      </c>
      <c r="H377"/>
      <c r="I377"/>
    </row>
    <row r="378" spans="1:9" x14ac:dyDescent="0.35">
      <c r="A378" s="71">
        <f t="shared" si="11"/>
        <v>36166.599999999977</v>
      </c>
      <c r="B378" s="72">
        <f t="shared" si="10"/>
        <v>-115</v>
      </c>
      <c r="C378" s="70">
        <v>377</v>
      </c>
      <c r="E378" s="66">
        <v>115</v>
      </c>
      <c r="F378" s="85">
        <v>45423</v>
      </c>
      <c r="G378" s="64" t="s">
        <v>149</v>
      </c>
      <c r="H378"/>
      <c r="I378"/>
    </row>
    <row r="379" spans="1:9" x14ac:dyDescent="0.35">
      <c r="A379" s="71">
        <f t="shared" si="11"/>
        <v>36126.599999999977</v>
      </c>
      <c r="B379" s="72">
        <f t="shared" si="10"/>
        <v>-40</v>
      </c>
      <c r="C379" s="70">
        <v>378</v>
      </c>
      <c r="E379" s="66">
        <v>40</v>
      </c>
      <c r="F379" s="85">
        <v>45423</v>
      </c>
      <c r="G379" s="64" t="s">
        <v>233</v>
      </c>
      <c r="H379"/>
      <c r="I379"/>
    </row>
    <row r="380" spans="1:9" x14ac:dyDescent="0.35">
      <c r="A380" s="71">
        <f t="shared" si="11"/>
        <v>36086.599999999977</v>
      </c>
      <c r="B380" s="72">
        <f t="shared" si="10"/>
        <v>-40</v>
      </c>
      <c r="C380" s="70">
        <v>379</v>
      </c>
      <c r="E380" s="66">
        <v>40</v>
      </c>
      <c r="F380" s="85">
        <v>45423</v>
      </c>
      <c r="G380" s="64" t="s">
        <v>237</v>
      </c>
      <c r="H380"/>
      <c r="I380"/>
    </row>
    <row r="381" spans="1:9" x14ac:dyDescent="0.35">
      <c r="A381" s="71">
        <f t="shared" si="11"/>
        <v>35996.599999999977</v>
      </c>
      <c r="B381" s="72">
        <f t="shared" si="10"/>
        <v>-90</v>
      </c>
      <c r="C381" s="70">
        <v>380</v>
      </c>
      <c r="E381" s="66">
        <v>90</v>
      </c>
      <c r="F381" s="85">
        <v>45423</v>
      </c>
      <c r="G381" s="64" t="s">
        <v>234</v>
      </c>
      <c r="H381"/>
      <c r="I381"/>
    </row>
    <row r="382" spans="1:9" x14ac:dyDescent="0.35">
      <c r="A382" s="71">
        <f t="shared" si="11"/>
        <v>63216.599999999977</v>
      </c>
      <c r="B382" s="72">
        <f t="shared" si="10"/>
        <v>27220</v>
      </c>
      <c r="C382" s="70">
        <v>381</v>
      </c>
      <c r="D382" s="65">
        <v>27220</v>
      </c>
      <c r="F382" s="85">
        <v>45424</v>
      </c>
      <c r="G382" s="64" t="s">
        <v>12</v>
      </c>
      <c r="H382"/>
      <c r="I382"/>
    </row>
    <row r="383" spans="1:9" x14ac:dyDescent="0.35">
      <c r="A383" s="71">
        <f t="shared" si="11"/>
        <v>66206.599999999977</v>
      </c>
      <c r="B383" s="72">
        <f t="shared" si="10"/>
        <v>2990</v>
      </c>
      <c r="C383" s="70">
        <v>382</v>
      </c>
      <c r="D383" s="65">
        <v>2990</v>
      </c>
      <c r="F383" s="85">
        <v>45425</v>
      </c>
      <c r="G383" s="64" t="s">
        <v>12</v>
      </c>
      <c r="H383"/>
      <c r="I383"/>
    </row>
    <row r="384" spans="1:9" x14ac:dyDescent="0.35">
      <c r="A384" s="71">
        <f t="shared" si="11"/>
        <v>63606.599999999977</v>
      </c>
      <c r="B384" s="72">
        <f t="shared" si="10"/>
        <v>-2600</v>
      </c>
      <c r="C384" s="70">
        <v>383</v>
      </c>
      <c r="E384" s="66">
        <v>2600</v>
      </c>
      <c r="F384" s="85">
        <v>45425</v>
      </c>
      <c r="G384" s="64" t="s">
        <v>235</v>
      </c>
      <c r="H384"/>
      <c r="I384"/>
    </row>
    <row r="385" spans="1:9" x14ac:dyDescent="0.35">
      <c r="A385" s="71">
        <f t="shared" si="11"/>
        <v>86566.599999999977</v>
      </c>
      <c r="B385" s="72">
        <f t="shared" si="10"/>
        <v>22960</v>
      </c>
      <c r="C385" s="70">
        <v>384</v>
      </c>
      <c r="D385" s="65">
        <v>23080</v>
      </c>
      <c r="E385" s="66">
        <v>120</v>
      </c>
      <c r="F385" s="85">
        <v>45426</v>
      </c>
      <c r="G385" s="64" t="s">
        <v>56</v>
      </c>
      <c r="H385"/>
      <c r="I385"/>
    </row>
    <row r="386" spans="1:9" x14ac:dyDescent="0.35">
      <c r="A386" s="71">
        <f t="shared" si="11"/>
        <v>86506.599999999977</v>
      </c>
      <c r="B386" s="72">
        <f t="shared" si="10"/>
        <v>-60</v>
      </c>
      <c r="C386" s="70">
        <v>385</v>
      </c>
      <c r="E386" s="66">
        <v>60</v>
      </c>
      <c r="F386" s="85">
        <v>45427</v>
      </c>
      <c r="G386" s="64" t="s">
        <v>236</v>
      </c>
      <c r="H386"/>
      <c r="I386"/>
    </row>
    <row r="387" spans="1:9" x14ac:dyDescent="0.35">
      <c r="A387" s="71">
        <f t="shared" si="11"/>
        <v>109956.59999999998</v>
      </c>
      <c r="B387" s="72">
        <f t="shared" ref="B387:B450" si="12">SUM(D387-E387)</f>
        <v>23450</v>
      </c>
      <c r="C387" s="70">
        <v>386</v>
      </c>
      <c r="D387" s="65">
        <v>23450</v>
      </c>
      <c r="F387" s="85">
        <v>45427</v>
      </c>
      <c r="G387" s="64" t="s">
        <v>12</v>
      </c>
      <c r="H387"/>
      <c r="I387"/>
    </row>
    <row r="388" spans="1:9" x14ac:dyDescent="0.35">
      <c r="A388" s="71">
        <f t="shared" ref="A388:A451" si="13">SUM(A387+B388)</f>
        <v>108656.59999999998</v>
      </c>
      <c r="B388" s="72">
        <f t="shared" si="12"/>
        <v>-1300</v>
      </c>
      <c r="C388" s="70">
        <v>387</v>
      </c>
      <c r="E388" s="66">
        <v>1300</v>
      </c>
      <c r="F388" s="85">
        <v>45427</v>
      </c>
      <c r="G388" s="64" t="s">
        <v>238</v>
      </c>
      <c r="H388"/>
      <c r="I388"/>
    </row>
    <row r="389" spans="1:9" x14ac:dyDescent="0.35">
      <c r="A389" s="71">
        <f t="shared" si="13"/>
        <v>108596.59999999998</v>
      </c>
      <c r="B389" s="72">
        <f t="shared" si="12"/>
        <v>-60</v>
      </c>
      <c r="C389" s="70">
        <v>388</v>
      </c>
      <c r="E389" s="66">
        <v>60</v>
      </c>
      <c r="F389" s="85">
        <v>45427</v>
      </c>
      <c r="G389" s="64" t="s">
        <v>80</v>
      </c>
      <c r="H389"/>
      <c r="I389"/>
    </row>
    <row r="390" spans="1:9" x14ac:dyDescent="0.35">
      <c r="A390" s="71">
        <f t="shared" si="13"/>
        <v>106596.59999999998</v>
      </c>
      <c r="B390" s="72">
        <f t="shared" si="12"/>
        <v>-2000</v>
      </c>
      <c r="C390" s="70">
        <v>389</v>
      </c>
      <c r="E390" s="66">
        <v>2000</v>
      </c>
      <c r="F390" s="85">
        <v>45428</v>
      </c>
      <c r="G390" s="64" t="s">
        <v>177</v>
      </c>
      <c r="H390"/>
      <c r="I390"/>
    </row>
    <row r="391" spans="1:9" x14ac:dyDescent="0.35">
      <c r="A391" s="71">
        <f t="shared" si="13"/>
        <v>107707.59999999998</v>
      </c>
      <c r="B391" s="72">
        <f t="shared" si="12"/>
        <v>1111</v>
      </c>
      <c r="C391" s="70">
        <v>390</v>
      </c>
      <c r="D391" s="65">
        <v>1230</v>
      </c>
      <c r="E391" s="66">
        <v>119</v>
      </c>
      <c r="F391" s="85">
        <v>45428</v>
      </c>
      <c r="G391" s="64" t="s">
        <v>240</v>
      </c>
      <c r="H391"/>
      <c r="I391"/>
    </row>
    <row r="392" spans="1:9" x14ac:dyDescent="0.35">
      <c r="A392" s="71">
        <f t="shared" si="13"/>
        <v>107399.59999999998</v>
      </c>
      <c r="B392" s="72">
        <f t="shared" si="12"/>
        <v>-308</v>
      </c>
      <c r="C392" s="70">
        <v>391</v>
      </c>
      <c r="E392" s="66">
        <v>308</v>
      </c>
      <c r="F392" s="85">
        <v>45430</v>
      </c>
      <c r="G392" s="64" t="s">
        <v>239</v>
      </c>
      <c r="H392"/>
      <c r="I392"/>
    </row>
    <row r="393" spans="1:9" x14ac:dyDescent="0.35">
      <c r="A393" s="71">
        <f t="shared" si="13"/>
        <v>113524.59999999998</v>
      </c>
      <c r="B393" s="72">
        <f t="shared" si="12"/>
        <v>6125</v>
      </c>
      <c r="C393" s="70">
        <v>392</v>
      </c>
      <c r="D393" s="65">
        <v>6305</v>
      </c>
      <c r="E393" s="66">
        <v>180</v>
      </c>
      <c r="F393" s="85">
        <v>45430</v>
      </c>
      <c r="G393" s="64" t="s">
        <v>58</v>
      </c>
      <c r="H393"/>
      <c r="I393"/>
    </row>
    <row r="394" spans="1:9" x14ac:dyDescent="0.35">
      <c r="A394" s="71">
        <f t="shared" si="13"/>
        <v>113464.59999999998</v>
      </c>
      <c r="B394" s="72">
        <f t="shared" si="12"/>
        <v>-60</v>
      </c>
      <c r="C394" s="70">
        <v>393</v>
      </c>
      <c r="E394" s="66">
        <v>60</v>
      </c>
      <c r="F394" s="85">
        <v>45430</v>
      </c>
      <c r="G394" s="64" t="s">
        <v>53</v>
      </c>
      <c r="H394"/>
      <c r="I394"/>
    </row>
    <row r="395" spans="1:9" x14ac:dyDescent="0.35">
      <c r="A395" s="71">
        <f t="shared" si="13"/>
        <v>113244.59999999998</v>
      </c>
      <c r="B395" s="72">
        <f t="shared" si="12"/>
        <v>-220</v>
      </c>
      <c r="C395" s="70">
        <v>394</v>
      </c>
      <c r="E395" s="66">
        <v>220</v>
      </c>
      <c r="F395" s="85">
        <v>45430</v>
      </c>
      <c r="G395" s="64" t="s">
        <v>50</v>
      </c>
      <c r="H395"/>
      <c r="I395"/>
    </row>
    <row r="396" spans="1:9" x14ac:dyDescent="0.35">
      <c r="A396" s="71">
        <f t="shared" si="13"/>
        <v>135544.59999999998</v>
      </c>
      <c r="B396" s="72">
        <f t="shared" si="12"/>
        <v>22300</v>
      </c>
      <c r="C396" s="70">
        <v>395</v>
      </c>
      <c r="D396" s="65">
        <v>22300</v>
      </c>
      <c r="F396" s="85">
        <v>45431</v>
      </c>
      <c r="H396"/>
      <c r="I396"/>
    </row>
    <row r="397" spans="1:9" x14ac:dyDescent="0.35">
      <c r="A397" s="71">
        <f t="shared" si="13"/>
        <v>134614.59999999998</v>
      </c>
      <c r="B397" s="72">
        <f t="shared" si="12"/>
        <v>-930</v>
      </c>
      <c r="C397" s="70">
        <v>396</v>
      </c>
      <c r="E397" s="66">
        <v>930</v>
      </c>
      <c r="F397" s="85">
        <v>45431</v>
      </c>
      <c r="G397" s="64" t="s">
        <v>241</v>
      </c>
      <c r="H397"/>
      <c r="I397"/>
    </row>
    <row r="398" spans="1:9" x14ac:dyDescent="0.35">
      <c r="A398" s="71">
        <f t="shared" si="13"/>
        <v>134431.59999999998</v>
      </c>
      <c r="B398" s="72">
        <f t="shared" si="12"/>
        <v>-183</v>
      </c>
      <c r="C398" s="70">
        <v>397</v>
      </c>
      <c r="E398" s="66">
        <v>183</v>
      </c>
      <c r="F398" s="85">
        <v>45432</v>
      </c>
      <c r="G398" s="64" t="s">
        <v>242</v>
      </c>
      <c r="H398"/>
      <c r="I398"/>
    </row>
    <row r="399" spans="1:9" x14ac:dyDescent="0.35">
      <c r="A399" s="71">
        <f t="shared" si="13"/>
        <v>136301.59999999998</v>
      </c>
      <c r="B399" s="72">
        <f t="shared" si="12"/>
        <v>1870</v>
      </c>
      <c r="C399" s="70">
        <v>398</v>
      </c>
      <c r="D399" s="65">
        <v>1870</v>
      </c>
      <c r="F399" s="85">
        <v>45432</v>
      </c>
      <c r="H399"/>
      <c r="I399"/>
    </row>
    <row r="400" spans="1:9" x14ac:dyDescent="0.35">
      <c r="A400" s="71">
        <f t="shared" si="13"/>
        <v>136281.59999999998</v>
      </c>
      <c r="B400" s="72">
        <f t="shared" si="12"/>
        <v>-20</v>
      </c>
      <c r="C400" s="70">
        <v>399</v>
      </c>
      <c r="E400" s="66">
        <v>20</v>
      </c>
      <c r="F400" s="85">
        <v>45432</v>
      </c>
      <c r="G400" s="64" t="s">
        <v>243</v>
      </c>
      <c r="H400"/>
      <c r="I400"/>
    </row>
    <row r="401" spans="1:9" x14ac:dyDescent="0.35">
      <c r="A401" s="71">
        <f t="shared" si="13"/>
        <v>136181.59999999998</v>
      </c>
      <c r="B401" s="72">
        <f t="shared" si="12"/>
        <v>-100</v>
      </c>
      <c r="C401" s="70">
        <v>400</v>
      </c>
      <c r="E401" s="66">
        <v>100</v>
      </c>
      <c r="F401" s="85">
        <v>45432</v>
      </c>
      <c r="G401" s="64" t="s">
        <v>189</v>
      </c>
      <c r="H401"/>
      <c r="I401"/>
    </row>
    <row r="402" spans="1:9" x14ac:dyDescent="0.35">
      <c r="A402" s="71">
        <f t="shared" si="13"/>
        <v>134301.59999999998</v>
      </c>
      <c r="B402" s="72">
        <f t="shared" si="12"/>
        <v>-1880</v>
      </c>
      <c r="C402" s="70">
        <v>401</v>
      </c>
      <c r="E402" s="66">
        <v>1880</v>
      </c>
      <c r="F402" s="85">
        <v>45433</v>
      </c>
      <c r="G402" s="64" t="s">
        <v>244</v>
      </c>
      <c r="H402"/>
      <c r="I402"/>
    </row>
    <row r="403" spans="1:9" x14ac:dyDescent="0.35">
      <c r="A403" s="71">
        <f t="shared" si="13"/>
        <v>131801.59999999998</v>
      </c>
      <c r="B403" s="72">
        <f t="shared" si="12"/>
        <v>-2500</v>
      </c>
      <c r="C403" s="70">
        <v>402</v>
      </c>
      <c r="E403" s="66">
        <v>2500</v>
      </c>
      <c r="F403" s="85">
        <v>45433</v>
      </c>
      <c r="G403" s="64" t="s">
        <v>245</v>
      </c>
      <c r="H403"/>
      <c r="I403"/>
    </row>
    <row r="404" spans="1:9" x14ac:dyDescent="0.35">
      <c r="A404" s="71">
        <f t="shared" si="13"/>
        <v>108801.59999999998</v>
      </c>
      <c r="B404" s="72">
        <f t="shared" si="12"/>
        <v>-23000</v>
      </c>
      <c r="C404" s="70">
        <v>403</v>
      </c>
      <c r="E404" s="66">
        <v>23000</v>
      </c>
      <c r="F404" s="85">
        <v>45433</v>
      </c>
      <c r="G404" s="64" t="s">
        <v>246</v>
      </c>
      <c r="H404"/>
      <c r="I404"/>
    </row>
    <row r="405" spans="1:9" x14ac:dyDescent="0.35">
      <c r="A405" s="71">
        <f t="shared" si="13"/>
        <v>108823.09999999998</v>
      </c>
      <c r="B405" s="72">
        <f t="shared" si="12"/>
        <v>21.5</v>
      </c>
      <c r="C405" s="70">
        <v>404</v>
      </c>
      <c r="D405" s="65">
        <v>21.5</v>
      </c>
      <c r="F405" s="85">
        <v>45433</v>
      </c>
      <c r="G405" s="64" t="s">
        <v>247</v>
      </c>
      <c r="H405"/>
      <c r="I405"/>
    </row>
    <row r="406" spans="1:9" x14ac:dyDescent="0.35">
      <c r="A406" s="71">
        <f t="shared" si="13"/>
        <v>128968.09999999998</v>
      </c>
      <c r="B406" s="72">
        <f t="shared" si="12"/>
        <v>20145</v>
      </c>
      <c r="C406" s="70">
        <v>405</v>
      </c>
      <c r="D406" s="65">
        <v>21210</v>
      </c>
      <c r="E406" s="66">
        <v>1065</v>
      </c>
      <c r="F406" s="85">
        <v>45433</v>
      </c>
      <c r="G406" s="64" t="s">
        <v>249</v>
      </c>
      <c r="H406"/>
      <c r="I406"/>
    </row>
    <row r="407" spans="1:9" x14ac:dyDescent="0.35">
      <c r="A407" s="71">
        <f t="shared" si="13"/>
        <v>128754.09999999998</v>
      </c>
      <c r="B407" s="72">
        <f t="shared" si="12"/>
        <v>-214</v>
      </c>
      <c r="C407" s="70">
        <v>406</v>
      </c>
      <c r="E407" s="66">
        <v>214</v>
      </c>
      <c r="F407" s="85">
        <v>45433</v>
      </c>
      <c r="G407" s="64" t="s">
        <v>250</v>
      </c>
      <c r="H407"/>
      <c r="I407"/>
    </row>
    <row r="408" spans="1:9" x14ac:dyDescent="0.35">
      <c r="A408" s="71">
        <f t="shared" si="13"/>
        <v>128434.09999999998</v>
      </c>
      <c r="B408" s="72">
        <f t="shared" si="12"/>
        <v>-320</v>
      </c>
      <c r="C408" s="70">
        <v>407</v>
      </c>
      <c r="E408" s="66">
        <v>320</v>
      </c>
      <c r="F408" s="85">
        <v>45433</v>
      </c>
      <c r="G408" s="64" t="s">
        <v>75</v>
      </c>
      <c r="H408"/>
      <c r="I408"/>
    </row>
    <row r="409" spans="1:9" x14ac:dyDescent="0.35">
      <c r="A409" s="71">
        <f t="shared" si="13"/>
        <v>127534.09999999998</v>
      </c>
      <c r="B409" s="72">
        <f t="shared" si="12"/>
        <v>-900</v>
      </c>
      <c r="C409" s="70">
        <v>408</v>
      </c>
      <c r="E409" s="66">
        <v>900</v>
      </c>
      <c r="F409" s="85">
        <v>45434</v>
      </c>
      <c r="G409" s="64" t="s">
        <v>248</v>
      </c>
      <c r="H409"/>
      <c r="I409"/>
    </row>
    <row r="410" spans="1:9" x14ac:dyDescent="0.35">
      <c r="A410" s="71">
        <f t="shared" si="13"/>
        <v>131384.09999999998</v>
      </c>
      <c r="B410" s="72">
        <f t="shared" si="12"/>
        <v>3850</v>
      </c>
      <c r="C410" s="70">
        <v>409</v>
      </c>
      <c r="D410" s="65">
        <v>3850</v>
      </c>
      <c r="F410" s="85">
        <v>45434</v>
      </c>
      <c r="H410"/>
      <c r="I410"/>
    </row>
    <row r="411" spans="1:9" x14ac:dyDescent="0.35">
      <c r="A411" s="71">
        <f t="shared" si="13"/>
        <v>161384.09999999998</v>
      </c>
      <c r="B411" s="72">
        <f t="shared" si="12"/>
        <v>30000</v>
      </c>
      <c r="C411" s="70">
        <v>410</v>
      </c>
      <c r="D411" s="65">
        <v>30000</v>
      </c>
      <c r="F411" s="85">
        <v>45435</v>
      </c>
      <c r="G411" s="64" t="s">
        <v>33</v>
      </c>
      <c r="H411"/>
      <c r="I411"/>
    </row>
    <row r="412" spans="1:9" x14ac:dyDescent="0.35">
      <c r="A412" s="71">
        <f t="shared" si="13"/>
        <v>119384.09999999998</v>
      </c>
      <c r="B412" s="72">
        <f t="shared" si="12"/>
        <v>-42000</v>
      </c>
      <c r="C412" s="70">
        <v>411</v>
      </c>
      <c r="E412" s="66">
        <v>42000</v>
      </c>
      <c r="F412" s="85">
        <v>45435</v>
      </c>
      <c r="G412" s="64" t="s">
        <v>251</v>
      </c>
      <c r="H412"/>
      <c r="I412"/>
    </row>
    <row r="413" spans="1:9" x14ac:dyDescent="0.35">
      <c r="A413" s="71">
        <f t="shared" si="13"/>
        <v>121114.09999999998</v>
      </c>
      <c r="B413" s="72">
        <f t="shared" si="12"/>
        <v>1730</v>
      </c>
      <c r="C413" s="70">
        <v>412</v>
      </c>
      <c r="D413" s="65">
        <v>1730</v>
      </c>
      <c r="F413" s="85">
        <v>45435</v>
      </c>
      <c r="H413"/>
      <c r="I413"/>
    </row>
    <row r="414" spans="1:9" x14ac:dyDescent="0.35">
      <c r="A414" s="71">
        <f t="shared" si="13"/>
        <v>123594.09999999998</v>
      </c>
      <c r="B414" s="72">
        <f t="shared" si="12"/>
        <v>2480</v>
      </c>
      <c r="C414" s="70">
        <v>413</v>
      </c>
      <c r="D414" s="65">
        <v>2560</v>
      </c>
      <c r="E414" s="66">
        <v>80</v>
      </c>
      <c r="F414" s="85">
        <v>45436</v>
      </c>
      <c r="G414" s="64" t="s">
        <v>50</v>
      </c>
      <c r="H414"/>
      <c r="I414"/>
    </row>
    <row r="415" spans="1:9" x14ac:dyDescent="0.35">
      <c r="A415" s="71">
        <f t="shared" si="13"/>
        <v>123519.09999999998</v>
      </c>
      <c r="B415" s="72">
        <f t="shared" si="12"/>
        <v>-75</v>
      </c>
      <c r="C415" s="70">
        <v>414</v>
      </c>
      <c r="E415" s="66">
        <v>75</v>
      </c>
      <c r="F415" s="85">
        <v>45436</v>
      </c>
      <c r="G415" s="64" t="s">
        <v>252</v>
      </c>
      <c r="H415"/>
      <c r="I415"/>
    </row>
    <row r="416" spans="1:9" x14ac:dyDescent="0.35">
      <c r="A416" s="71">
        <f t="shared" si="13"/>
        <v>123419.09999999998</v>
      </c>
      <c r="B416" s="72">
        <f t="shared" si="12"/>
        <v>-100</v>
      </c>
      <c r="C416" s="70">
        <v>415</v>
      </c>
      <c r="E416" s="66">
        <v>100</v>
      </c>
      <c r="F416" s="85">
        <v>45436</v>
      </c>
      <c r="G416" s="64" t="s">
        <v>394</v>
      </c>
      <c r="H416"/>
      <c r="I416"/>
    </row>
    <row r="417" spans="1:9" x14ac:dyDescent="0.35">
      <c r="A417" s="71">
        <f t="shared" si="13"/>
        <v>123109.09999999998</v>
      </c>
      <c r="B417" s="72">
        <f t="shared" si="12"/>
        <v>-310</v>
      </c>
      <c r="C417" s="70">
        <v>416</v>
      </c>
      <c r="E417" s="66">
        <v>310</v>
      </c>
      <c r="F417" s="85">
        <v>45437</v>
      </c>
      <c r="G417" s="64" t="s">
        <v>177</v>
      </c>
      <c r="H417"/>
      <c r="I417"/>
    </row>
    <row r="418" spans="1:9" x14ac:dyDescent="0.35">
      <c r="A418" s="71">
        <f t="shared" si="13"/>
        <v>143949.09999999998</v>
      </c>
      <c r="B418" s="72">
        <f t="shared" si="12"/>
        <v>20840</v>
      </c>
      <c r="C418" s="70">
        <v>417</v>
      </c>
      <c r="D418" s="65">
        <v>20900</v>
      </c>
      <c r="E418" s="66">
        <v>60</v>
      </c>
      <c r="F418" s="85">
        <v>45438</v>
      </c>
      <c r="G418" s="64" t="s">
        <v>62</v>
      </c>
      <c r="H418"/>
      <c r="I418"/>
    </row>
    <row r="419" spans="1:9" x14ac:dyDescent="0.35">
      <c r="A419" s="71">
        <f t="shared" si="13"/>
        <v>148089.09999999998</v>
      </c>
      <c r="B419" s="72">
        <f t="shared" si="12"/>
        <v>4140</v>
      </c>
      <c r="C419" s="70">
        <v>418</v>
      </c>
      <c r="D419" s="65">
        <v>4200</v>
      </c>
      <c r="E419" s="66">
        <v>60</v>
      </c>
      <c r="F419" s="85">
        <v>45439</v>
      </c>
      <c r="G419" s="64" t="s">
        <v>253</v>
      </c>
      <c r="H419"/>
      <c r="I419"/>
    </row>
    <row r="420" spans="1:9" x14ac:dyDescent="0.35">
      <c r="A420" s="71">
        <f t="shared" si="13"/>
        <v>147969.09999999998</v>
      </c>
      <c r="B420" s="72">
        <f t="shared" si="12"/>
        <v>-120</v>
      </c>
      <c r="C420" s="70">
        <v>419</v>
      </c>
      <c r="E420" s="66">
        <v>120</v>
      </c>
      <c r="F420" s="85">
        <v>45439</v>
      </c>
      <c r="G420" s="64" t="s">
        <v>323</v>
      </c>
      <c r="H420"/>
      <c r="I420"/>
    </row>
    <row r="421" spans="1:9" x14ac:dyDescent="0.35">
      <c r="A421" s="71">
        <f t="shared" si="13"/>
        <v>147949.09999999998</v>
      </c>
      <c r="B421" s="72">
        <f t="shared" si="12"/>
        <v>-20</v>
      </c>
      <c r="C421" s="70">
        <v>420</v>
      </c>
      <c r="E421" s="66">
        <v>20</v>
      </c>
      <c r="F421" s="85">
        <v>45439</v>
      </c>
      <c r="G421" s="64" t="s">
        <v>254</v>
      </c>
      <c r="H421"/>
      <c r="I421"/>
    </row>
    <row r="422" spans="1:9" x14ac:dyDescent="0.35">
      <c r="A422" s="71">
        <f t="shared" si="13"/>
        <v>142349.09999999998</v>
      </c>
      <c r="B422" s="72">
        <f t="shared" si="12"/>
        <v>-5600</v>
      </c>
      <c r="C422" s="70">
        <v>421</v>
      </c>
      <c r="E422" s="66">
        <v>5600</v>
      </c>
      <c r="F422" s="85">
        <v>45440</v>
      </c>
      <c r="G422" s="64" t="s">
        <v>256</v>
      </c>
      <c r="H422"/>
      <c r="I422"/>
    </row>
    <row r="423" spans="1:9" x14ac:dyDescent="0.35">
      <c r="A423" s="71">
        <f t="shared" si="13"/>
        <v>139199.09999999998</v>
      </c>
      <c r="B423" s="72">
        <f t="shared" si="12"/>
        <v>-3150</v>
      </c>
      <c r="C423" s="70">
        <v>422</v>
      </c>
      <c r="E423" s="66">
        <v>3150</v>
      </c>
      <c r="F423" s="85">
        <v>45440</v>
      </c>
      <c r="G423" s="64" t="s">
        <v>257</v>
      </c>
      <c r="H423"/>
      <c r="I423"/>
    </row>
    <row r="424" spans="1:9" x14ac:dyDescent="0.35">
      <c r="A424" s="71">
        <f t="shared" si="13"/>
        <v>155959.09999999998</v>
      </c>
      <c r="B424" s="72">
        <f t="shared" si="12"/>
        <v>16760</v>
      </c>
      <c r="C424" s="70">
        <v>423</v>
      </c>
      <c r="D424" s="65">
        <v>17080</v>
      </c>
      <c r="E424" s="66">
        <v>320</v>
      </c>
      <c r="F424" s="85">
        <v>45440</v>
      </c>
      <c r="G424" s="64" t="s">
        <v>75</v>
      </c>
      <c r="H424"/>
      <c r="I424"/>
    </row>
    <row r="425" spans="1:9" x14ac:dyDescent="0.35">
      <c r="A425" s="71">
        <f t="shared" si="13"/>
        <v>155979.09999999998</v>
      </c>
      <c r="B425" s="72">
        <f t="shared" si="12"/>
        <v>20</v>
      </c>
      <c r="C425" s="70">
        <v>424</v>
      </c>
      <c r="D425" s="65">
        <v>20</v>
      </c>
      <c r="F425" s="85">
        <v>45440</v>
      </c>
      <c r="G425" s="64" t="s">
        <v>258</v>
      </c>
      <c r="H425"/>
      <c r="I425"/>
    </row>
    <row r="426" spans="1:9" x14ac:dyDescent="0.35">
      <c r="A426" s="71">
        <f t="shared" si="13"/>
        <v>154979.09999999998</v>
      </c>
      <c r="B426" s="72">
        <f t="shared" si="12"/>
        <v>-1000</v>
      </c>
      <c r="C426" s="70">
        <v>425</v>
      </c>
      <c r="E426" s="66">
        <v>1000</v>
      </c>
      <c r="F426" s="85">
        <v>45440</v>
      </c>
      <c r="G426" s="64" t="s">
        <v>64</v>
      </c>
      <c r="H426"/>
      <c r="I426"/>
    </row>
    <row r="427" spans="1:9" x14ac:dyDescent="0.35">
      <c r="A427" s="71">
        <f t="shared" si="13"/>
        <v>172949.09999999998</v>
      </c>
      <c r="B427" s="72">
        <f t="shared" si="12"/>
        <v>17970</v>
      </c>
      <c r="C427" s="70">
        <v>426</v>
      </c>
      <c r="D427" s="65">
        <v>17970</v>
      </c>
      <c r="F427" s="85">
        <v>45441</v>
      </c>
      <c r="G427" s="64" t="s">
        <v>12</v>
      </c>
      <c r="H427"/>
      <c r="I427"/>
    </row>
    <row r="428" spans="1:9" x14ac:dyDescent="0.35">
      <c r="A428" s="71">
        <f t="shared" si="13"/>
        <v>170824.09999999998</v>
      </c>
      <c r="B428" s="72">
        <f t="shared" si="12"/>
        <v>-2125</v>
      </c>
      <c r="C428" s="70">
        <v>427</v>
      </c>
      <c r="E428" s="66">
        <v>2125</v>
      </c>
      <c r="F428" s="85">
        <v>45441</v>
      </c>
      <c r="G428" s="64" t="s">
        <v>259</v>
      </c>
      <c r="H428"/>
      <c r="I428"/>
    </row>
    <row r="429" spans="1:9" x14ac:dyDescent="0.35">
      <c r="A429" s="71">
        <f t="shared" si="13"/>
        <v>170614.09999999998</v>
      </c>
      <c r="B429" s="72">
        <f t="shared" si="12"/>
        <v>-210</v>
      </c>
      <c r="C429" s="70">
        <v>428</v>
      </c>
      <c r="E429" s="66">
        <v>210</v>
      </c>
      <c r="F429" s="85">
        <v>45441</v>
      </c>
      <c r="G429" s="64" t="s">
        <v>260</v>
      </c>
      <c r="H429"/>
      <c r="I429"/>
    </row>
    <row r="430" spans="1:9" x14ac:dyDescent="0.35">
      <c r="A430" s="71">
        <f t="shared" si="13"/>
        <v>135614.09999999998</v>
      </c>
      <c r="B430" s="72">
        <f t="shared" si="12"/>
        <v>-35000</v>
      </c>
      <c r="C430" s="70">
        <v>429</v>
      </c>
      <c r="E430" s="66">
        <v>35000</v>
      </c>
      <c r="F430" s="85">
        <v>45441</v>
      </c>
      <c r="G430" s="64" t="s">
        <v>261</v>
      </c>
      <c r="H430"/>
      <c r="I430"/>
    </row>
    <row r="431" spans="1:9" x14ac:dyDescent="0.35">
      <c r="A431" s="71">
        <f t="shared" si="13"/>
        <v>134854.09999999998</v>
      </c>
      <c r="B431" s="72">
        <f t="shared" si="12"/>
        <v>-760</v>
      </c>
      <c r="C431" s="70">
        <v>430</v>
      </c>
      <c r="E431" s="66">
        <v>760</v>
      </c>
      <c r="F431" s="85">
        <v>45441</v>
      </c>
      <c r="G431" s="64" t="s">
        <v>262</v>
      </c>
      <c r="H431"/>
      <c r="I431"/>
    </row>
    <row r="432" spans="1:9" x14ac:dyDescent="0.35">
      <c r="A432" s="71">
        <f t="shared" si="13"/>
        <v>134734.09999999998</v>
      </c>
      <c r="B432" s="72">
        <f t="shared" si="12"/>
        <v>-120</v>
      </c>
      <c r="C432" s="70">
        <v>431</v>
      </c>
      <c r="E432" s="66">
        <v>120</v>
      </c>
      <c r="F432" s="85">
        <v>45441</v>
      </c>
      <c r="G432" s="64" t="s">
        <v>322</v>
      </c>
      <c r="H432"/>
      <c r="I432"/>
    </row>
    <row r="433" spans="1:9" x14ac:dyDescent="0.35">
      <c r="A433" s="71">
        <f t="shared" si="13"/>
        <v>134684.09999999998</v>
      </c>
      <c r="B433" s="72">
        <f t="shared" si="12"/>
        <v>-50</v>
      </c>
      <c r="C433" s="70">
        <v>432</v>
      </c>
      <c r="E433" s="66">
        <v>50</v>
      </c>
      <c r="F433" s="85">
        <v>45441</v>
      </c>
      <c r="G433" s="64" t="s">
        <v>263</v>
      </c>
      <c r="H433"/>
      <c r="I433"/>
    </row>
    <row r="434" spans="1:9" x14ac:dyDescent="0.35">
      <c r="A434" s="71">
        <f t="shared" si="13"/>
        <v>74312.099999999977</v>
      </c>
      <c r="B434" s="72">
        <f t="shared" si="12"/>
        <v>-60372</v>
      </c>
      <c r="C434" s="70">
        <v>433</v>
      </c>
      <c r="E434" s="66">
        <v>60372</v>
      </c>
      <c r="F434" s="85">
        <v>45442</v>
      </c>
      <c r="G434" s="64" t="s">
        <v>18</v>
      </c>
      <c r="H434"/>
      <c r="I434"/>
    </row>
    <row r="435" spans="1:9" x14ac:dyDescent="0.35">
      <c r="A435" s="71">
        <f t="shared" si="13"/>
        <v>57212.099999999977</v>
      </c>
      <c r="B435" s="72">
        <f t="shared" si="12"/>
        <v>-17100</v>
      </c>
      <c r="C435" s="70">
        <v>434</v>
      </c>
      <c r="E435" s="66">
        <v>17100</v>
      </c>
      <c r="F435" s="85">
        <v>45442</v>
      </c>
      <c r="G435" s="64" t="s">
        <v>264</v>
      </c>
      <c r="H435"/>
      <c r="I435"/>
    </row>
    <row r="436" spans="1:9" x14ac:dyDescent="0.35">
      <c r="A436" s="71">
        <f t="shared" si="13"/>
        <v>57862.099999999977</v>
      </c>
      <c r="B436" s="72">
        <f t="shared" si="12"/>
        <v>650</v>
      </c>
      <c r="C436" s="70">
        <v>435</v>
      </c>
      <c r="D436" s="65">
        <v>810</v>
      </c>
      <c r="E436" s="66">
        <v>160</v>
      </c>
      <c r="F436" s="85">
        <v>45442</v>
      </c>
      <c r="G436" s="64" t="s">
        <v>50</v>
      </c>
      <c r="H436"/>
      <c r="I436"/>
    </row>
    <row r="437" spans="1:9" x14ac:dyDescent="0.35">
      <c r="A437" s="71">
        <f t="shared" si="13"/>
        <v>57712.099999999977</v>
      </c>
      <c r="B437" s="72">
        <f t="shared" si="12"/>
        <v>-150</v>
      </c>
      <c r="C437" s="70">
        <v>436</v>
      </c>
      <c r="E437" s="66">
        <v>150</v>
      </c>
      <c r="F437" s="85">
        <v>45442</v>
      </c>
      <c r="G437" s="64" t="s">
        <v>269</v>
      </c>
      <c r="H437"/>
      <c r="I437"/>
    </row>
    <row r="438" spans="1:9" x14ac:dyDescent="0.35">
      <c r="A438" s="71">
        <f t="shared" si="13"/>
        <v>57952.099999999977</v>
      </c>
      <c r="B438" s="72">
        <f t="shared" si="12"/>
        <v>240</v>
      </c>
      <c r="C438" s="70">
        <v>437</v>
      </c>
      <c r="D438" s="65">
        <v>240</v>
      </c>
      <c r="F438" s="85">
        <v>45442</v>
      </c>
      <c r="G438" s="64" t="s">
        <v>321</v>
      </c>
      <c r="H438"/>
      <c r="I438"/>
    </row>
    <row r="439" spans="1:9" x14ac:dyDescent="0.35">
      <c r="A439" s="71">
        <f t="shared" si="13"/>
        <v>58152.099999999977</v>
      </c>
      <c r="B439" s="72">
        <f t="shared" si="12"/>
        <v>200</v>
      </c>
      <c r="C439" s="70">
        <v>438</v>
      </c>
      <c r="D439" s="65">
        <v>200</v>
      </c>
      <c r="F439" s="85">
        <v>45444</v>
      </c>
      <c r="G439" s="64" t="s">
        <v>265</v>
      </c>
      <c r="H439"/>
      <c r="I439"/>
    </row>
    <row r="440" spans="1:9" x14ac:dyDescent="0.35">
      <c r="A440" s="71">
        <f t="shared" si="13"/>
        <v>64152.099999999977</v>
      </c>
      <c r="B440" s="72">
        <f t="shared" si="12"/>
        <v>6000</v>
      </c>
      <c r="C440" s="70">
        <v>439</v>
      </c>
      <c r="D440" s="65">
        <v>6100</v>
      </c>
      <c r="E440" s="66">
        <v>100</v>
      </c>
      <c r="F440" s="85">
        <v>45444</v>
      </c>
      <c r="G440" s="64" t="s">
        <v>266</v>
      </c>
      <c r="H440"/>
      <c r="I440"/>
    </row>
    <row r="441" spans="1:9" x14ac:dyDescent="0.35">
      <c r="A441" s="71">
        <f t="shared" si="13"/>
        <v>62852.099999999977</v>
      </c>
      <c r="B441" s="72">
        <f t="shared" si="12"/>
        <v>-1300</v>
      </c>
      <c r="C441" s="70">
        <v>440</v>
      </c>
      <c r="E441" s="66">
        <v>1300</v>
      </c>
      <c r="F441" s="85">
        <v>45444</v>
      </c>
      <c r="G441" s="64" t="s">
        <v>267</v>
      </c>
      <c r="H441"/>
      <c r="I441"/>
    </row>
    <row r="442" spans="1:9" x14ac:dyDescent="0.35">
      <c r="A442" s="71">
        <f t="shared" si="13"/>
        <v>61852.099999999977</v>
      </c>
      <c r="B442" s="72">
        <f t="shared" si="12"/>
        <v>-1000</v>
      </c>
      <c r="C442" s="70">
        <v>441</v>
      </c>
      <c r="E442" s="66">
        <v>1000</v>
      </c>
      <c r="F442" s="85">
        <v>45444</v>
      </c>
      <c r="G442" s="64" t="s">
        <v>268</v>
      </c>
      <c r="H442"/>
      <c r="I442"/>
    </row>
    <row r="443" spans="1:9" x14ac:dyDescent="0.35">
      <c r="A443" s="71">
        <f t="shared" si="13"/>
        <v>61612.099999999977</v>
      </c>
      <c r="B443" s="72">
        <f t="shared" si="12"/>
        <v>-240</v>
      </c>
      <c r="C443" s="70">
        <v>442</v>
      </c>
      <c r="E443" s="66">
        <v>240</v>
      </c>
      <c r="F443" s="85">
        <v>45444</v>
      </c>
      <c r="G443" s="64" t="s">
        <v>113</v>
      </c>
      <c r="H443"/>
      <c r="I443"/>
    </row>
    <row r="444" spans="1:9" x14ac:dyDescent="0.35">
      <c r="A444" s="71">
        <f t="shared" si="13"/>
        <v>81642.099999999977</v>
      </c>
      <c r="B444" s="72">
        <f t="shared" si="12"/>
        <v>20030</v>
      </c>
      <c r="C444" s="70">
        <v>443</v>
      </c>
      <c r="D444" s="65">
        <v>20230</v>
      </c>
      <c r="E444" s="66">
        <v>200</v>
      </c>
      <c r="F444" s="85">
        <v>45445</v>
      </c>
      <c r="G444" s="64" t="s">
        <v>141</v>
      </c>
      <c r="H444"/>
      <c r="I444"/>
    </row>
    <row r="445" spans="1:9" x14ac:dyDescent="0.35">
      <c r="A445" s="71">
        <f t="shared" si="13"/>
        <v>81352.099999999977</v>
      </c>
      <c r="B445" s="72">
        <f t="shared" si="12"/>
        <v>-290</v>
      </c>
      <c r="C445" s="70">
        <v>444</v>
      </c>
      <c r="E445" s="66">
        <v>290</v>
      </c>
      <c r="F445" s="85">
        <v>45445</v>
      </c>
      <c r="G445" s="64" t="s">
        <v>270</v>
      </c>
      <c r="H445"/>
      <c r="I445"/>
    </row>
    <row r="446" spans="1:9" x14ac:dyDescent="0.35">
      <c r="A446" s="71">
        <f t="shared" si="13"/>
        <v>80732.099999999977</v>
      </c>
      <c r="B446" s="72">
        <f t="shared" si="12"/>
        <v>-620</v>
      </c>
      <c r="C446" s="70">
        <v>445</v>
      </c>
      <c r="E446" s="66">
        <v>620</v>
      </c>
      <c r="F446" s="85">
        <v>45445</v>
      </c>
      <c r="G446" s="64" t="s">
        <v>271</v>
      </c>
      <c r="H446"/>
      <c r="I446"/>
    </row>
    <row r="447" spans="1:9" x14ac:dyDescent="0.35">
      <c r="A447" s="71">
        <f t="shared" si="13"/>
        <v>56532.099999999977</v>
      </c>
      <c r="B447" s="72">
        <f t="shared" si="12"/>
        <v>-24200</v>
      </c>
      <c r="C447" s="70">
        <v>446</v>
      </c>
      <c r="E447" s="66">
        <v>24200</v>
      </c>
      <c r="F447" s="85">
        <v>45445</v>
      </c>
      <c r="G447" s="64" t="s">
        <v>15</v>
      </c>
      <c r="H447"/>
      <c r="I447"/>
    </row>
    <row r="448" spans="1:9" x14ac:dyDescent="0.35">
      <c r="A448" s="71">
        <f t="shared" si="13"/>
        <v>56382.099999999977</v>
      </c>
      <c r="B448" s="72">
        <f t="shared" si="12"/>
        <v>-150</v>
      </c>
      <c r="C448" s="70">
        <v>447</v>
      </c>
      <c r="E448" s="66">
        <v>150</v>
      </c>
      <c r="F448" s="85">
        <v>45445</v>
      </c>
      <c r="G448" s="64" t="s">
        <v>250</v>
      </c>
      <c r="H448"/>
      <c r="I448"/>
    </row>
    <row r="449" spans="1:9" x14ac:dyDescent="0.35">
      <c r="A449" s="71">
        <f t="shared" si="13"/>
        <v>55982.099999999977</v>
      </c>
      <c r="B449" s="72">
        <f t="shared" si="12"/>
        <v>-400</v>
      </c>
      <c r="C449" s="70">
        <v>448</v>
      </c>
      <c r="E449" s="66">
        <v>400</v>
      </c>
      <c r="F449" s="85">
        <v>45445</v>
      </c>
      <c r="G449" s="64" t="s">
        <v>70</v>
      </c>
      <c r="H449"/>
      <c r="I449"/>
    </row>
    <row r="450" spans="1:9" x14ac:dyDescent="0.35">
      <c r="A450" s="71">
        <f t="shared" si="13"/>
        <v>54882.099999999977</v>
      </c>
      <c r="B450" s="72">
        <f t="shared" si="12"/>
        <v>-1100</v>
      </c>
      <c r="C450" s="70">
        <v>449</v>
      </c>
      <c r="E450" s="66">
        <v>1100</v>
      </c>
      <c r="F450" s="85">
        <v>45446</v>
      </c>
      <c r="G450" s="64" t="s">
        <v>177</v>
      </c>
      <c r="H450"/>
      <c r="I450"/>
    </row>
    <row r="451" spans="1:9" x14ac:dyDescent="0.35">
      <c r="A451" s="71">
        <f t="shared" si="13"/>
        <v>56557.099999999977</v>
      </c>
      <c r="B451" s="72">
        <f t="shared" ref="B451:B514" si="14">SUM(D451-E451)</f>
        <v>1675</v>
      </c>
      <c r="C451" s="70">
        <v>450</v>
      </c>
      <c r="D451" s="65">
        <v>1990</v>
      </c>
      <c r="E451" s="66">
        <v>315</v>
      </c>
      <c r="F451" s="85">
        <v>45446</v>
      </c>
      <c r="G451" s="64" t="s">
        <v>2</v>
      </c>
      <c r="H451"/>
      <c r="I451"/>
    </row>
    <row r="452" spans="1:9" x14ac:dyDescent="0.35">
      <c r="A452" s="71">
        <f t="shared" ref="A452:A515" si="15">SUM(A451+B452)</f>
        <v>56057.099999999977</v>
      </c>
      <c r="B452" s="72">
        <f t="shared" si="14"/>
        <v>-500</v>
      </c>
      <c r="C452" s="70">
        <v>451</v>
      </c>
      <c r="E452" s="66">
        <v>500</v>
      </c>
      <c r="F452" s="85">
        <v>45446</v>
      </c>
      <c r="G452" s="64" t="s">
        <v>272</v>
      </c>
      <c r="H452"/>
      <c r="I452"/>
    </row>
    <row r="453" spans="1:9" x14ac:dyDescent="0.35">
      <c r="A453" s="71">
        <f t="shared" si="15"/>
        <v>56037.099999999977</v>
      </c>
      <c r="B453" s="72">
        <f t="shared" si="14"/>
        <v>-20</v>
      </c>
      <c r="C453" s="70">
        <v>452</v>
      </c>
      <c r="E453" s="66">
        <v>20</v>
      </c>
      <c r="F453" s="85">
        <v>45446</v>
      </c>
      <c r="G453" s="64" t="s">
        <v>273</v>
      </c>
      <c r="H453"/>
      <c r="I453"/>
    </row>
    <row r="454" spans="1:9" x14ac:dyDescent="0.35">
      <c r="A454" s="71">
        <f t="shared" si="15"/>
        <v>84582.099999999977</v>
      </c>
      <c r="B454" s="72">
        <f t="shared" si="14"/>
        <v>28545</v>
      </c>
      <c r="C454" s="70">
        <v>453</v>
      </c>
      <c r="D454" s="65">
        <v>28545</v>
      </c>
      <c r="F454" s="85">
        <v>45447</v>
      </c>
      <c r="G454" s="64" t="s">
        <v>12</v>
      </c>
      <c r="H454"/>
      <c r="I454"/>
    </row>
    <row r="455" spans="1:9" x14ac:dyDescent="0.35">
      <c r="A455" s="71">
        <f t="shared" si="15"/>
        <v>67082.099999999977</v>
      </c>
      <c r="B455" s="72">
        <f t="shared" si="14"/>
        <v>-17500</v>
      </c>
      <c r="C455" s="70">
        <v>454</v>
      </c>
      <c r="E455" s="66">
        <v>17500</v>
      </c>
      <c r="F455" s="85">
        <v>45448</v>
      </c>
      <c r="G455" s="64" t="s">
        <v>17</v>
      </c>
      <c r="H455"/>
      <c r="I455"/>
    </row>
    <row r="456" spans="1:9" x14ac:dyDescent="0.35">
      <c r="A456" s="71">
        <f t="shared" si="15"/>
        <v>66697.099999999977</v>
      </c>
      <c r="B456" s="72">
        <f t="shared" si="14"/>
        <v>-385</v>
      </c>
      <c r="C456" s="70">
        <v>455</v>
      </c>
      <c r="E456" s="66">
        <v>385</v>
      </c>
      <c r="F456" s="85">
        <v>45448</v>
      </c>
      <c r="G456" s="64" t="s">
        <v>275</v>
      </c>
      <c r="H456"/>
      <c r="I456"/>
    </row>
    <row r="457" spans="1:9" x14ac:dyDescent="0.35">
      <c r="A457" s="71">
        <f t="shared" si="15"/>
        <v>66607.099999999977</v>
      </c>
      <c r="B457" s="72">
        <f t="shared" si="14"/>
        <v>-90</v>
      </c>
      <c r="C457" s="70">
        <v>456</v>
      </c>
      <c r="E457" s="66">
        <v>90</v>
      </c>
      <c r="F457" s="85">
        <v>45448</v>
      </c>
      <c r="G457" s="64" t="s">
        <v>274</v>
      </c>
      <c r="H457"/>
      <c r="I457"/>
    </row>
    <row r="458" spans="1:9" x14ac:dyDescent="0.35">
      <c r="A458" s="71">
        <f t="shared" si="15"/>
        <v>66407.099999999977</v>
      </c>
      <c r="B458" s="72">
        <f t="shared" si="14"/>
        <v>-200</v>
      </c>
      <c r="C458" s="70">
        <v>457</v>
      </c>
      <c r="E458" s="66">
        <v>200</v>
      </c>
      <c r="F458" s="85">
        <v>45448</v>
      </c>
      <c r="G458" s="64" t="s">
        <v>1</v>
      </c>
      <c r="H458"/>
      <c r="I458"/>
    </row>
    <row r="459" spans="1:9" x14ac:dyDescent="0.35">
      <c r="A459" s="71">
        <f t="shared" si="15"/>
        <v>65307.099999999977</v>
      </c>
      <c r="B459" s="72">
        <f t="shared" si="14"/>
        <v>-1100</v>
      </c>
      <c r="C459" s="70">
        <v>458</v>
      </c>
      <c r="E459" s="66">
        <v>1100</v>
      </c>
      <c r="F459" s="85">
        <v>45448</v>
      </c>
      <c r="G459" s="64" t="s">
        <v>276</v>
      </c>
      <c r="H459"/>
      <c r="I459"/>
    </row>
    <row r="460" spans="1:9" x14ac:dyDescent="0.35">
      <c r="A460" s="71">
        <f t="shared" si="15"/>
        <v>50307.099999999977</v>
      </c>
      <c r="B460" s="72">
        <f t="shared" si="14"/>
        <v>-15000</v>
      </c>
      <c r="C460" s="70">
        <v>459</v>
      </c>
      <c r="E460" s="66">
        <v>15000</v>
      </c>
      <c r="F460" s="85">
        <v>45448</v>
      </c>
      <c r="G460" s="64" t="s">
        <v>277</v>
      </c>
      <c r="H460"/>
      <c r="I460"/>
    </row>
    <row r="461" spans="1:9" x14ac:dyDescent="0.35">
      <c r="A461" s="71">
        <f t="shared" si="15"/>
        <v>53887.099999999977</v>
      </c>
      <c r="B461" s="72">
        <f t="shared" si="14"/>
        <v>3580</v>
      </c>
      <c r="C461" s="70">
        <v>460</v>
      </c>
      <c r="D461" s="65">
        <v>3580</v>
      </c>
      <c r="F461" s="85">
        <v>45448</v>
      </c>
      <c r="G461" s="64" t="s">
        <v>12</v>
      </c>
      <c r="H461"/>
      <c r="I461"/>
    </row>
    <row r="462" spans="1:9" x14ac:dyDescent="0.35">
      <c r="A462" s="71">
        <f t="shared" si="15"/>
        <v>53887.099999999977</v>
      </c>
      <c r="B462" s="72">
        <f t="shared" si="14"/>
        <v>0</v>
      </c>
      <c r="C462" s="70">
        <v>461</v>
      </c>
      <c r="D462" s="65">
        <v>1500</v>
      </c>
      <c r="E462" s="66">
        <v>1500</v>
      </c>
      <c r="F462" s="85">
        <v>45448</v>
      </c>
      <c r="G462" s="64" t="s">
        <v>278</v>
      </c>
      <c r="H462"/>
      <c r="I462"/>
    </row>
    <row r="463" spans="1:9" x14ac:dyDescent="0.35">
      <c r="A463" s="71">
        <f t="shared" si="15"/>
        <v>54987.099999999977</v>
      </c>
      <c r="B463" s="72">
        <f t="shared" si="14"/>
        <v>1100</v>
      </c>
      <c r="C463" s="70">
        <v>462</v>
      </c>
      <c r="D463" s="65">
        <v>1100</v>
      </c>
      <c r="F463" s="85">
        <v>45449</v>
      </c>
      <c r="G463" s="64" t="s">
        <v>12</v>
      </c>
      <c r="H463"/>
      <c r="I463"/>
    </row>
    <row r="464" spans="1:9" x14ac:dyDescent="0.35">
      <c r="A464" s="71">
        <f t="shared" si="15"/>
        <v>62927.099999999977</v>
      </c>
      <c r="B464" s="72">
        <f t="shared" si="14"/>
        <v>7940</v>
      </c>
      <c r="C464" s="70">
        <v>463</v>
      </c>
      <c r="D464" s="65">
        <v>7940</v>
      </c>
      <c r="F464" s="85">
        <v>45451</v>
      </c>
      <c r="H464"/>
      <c r="I464"/>
    </row>
    <row r="465" spans="1:9" x14ac:dyDescent="0.35">
      <c r="A465" s="71">
        <f t="shared" si="15"/>
        <v>82237.099999999977</v>
      </c>
      <c r="B465" s="72">
        <f t="shared" si="14"/>
        <v>19310</v>
      </c>
      <c r="C465" s="70">
        <v>464</v>
      </c>
      <c r="D465" s="65">
        <v>19310</v>
      </c>
      <c r="F465" s="85">
        <v>45452</v>
      </c>
      <c r="G465" s="64" t="s">
        <v>12</v>
      </c>
      <c r="H465"/>
      <c r="I465"/>
    </row>
    <row r="466" spans="1:9" x14ac:dyDescent="0.35">
      <c r="A466" s="71">
        <f t="shared" si="15"/>
        <v>82177.099999999977</v>
      </c>
      <c r="B466" s="72">
        <f t="shared" si="14"/>
        <v>-60</v>
      </c>
      <c r="C466" s="70">
        <v>465</v>
      </c>
      <c r="E466" s="66">
        <v>60</v>
      </c>
      <c r="F466" s="85">
        <v>45452</v>
      </c>
      <c r="G466" s="64" t="s">
        <v>44</v>
      </c>
      <c r="H466"/>
      <c r="I466"/>
    </row>
    <row r="467" spans="1:9" x14ac:dyDescent="0.35">
      <c r="A467" s="71">
        <f t="shared" si="15"/>
        <v>72177.099999999977</v>
      </c>
      <c r="B467" s="72">
        <f t="shared" si="14"/>
        <v>-10000</v>
      </c>
      <c r="C467" s="70">
        <v>466</v>
      </c>
      <c r="E467" s="66">
        <v>10000</v>
      </c>
      <c r="F467" s="85">
        <v>45453</v>
      </c>
      <c r="G467" s="64" t="s">
        <v>279</v>
      </c>
      <c r="H467"/>
      <c r="I467"/>
    </row>
    <row r="468" spans="1:9" x14ac:dyDescent="0.35">
      <c r="A468" s="71">
        <f t="shared" si="15"/>
        <v>43031.099999999977</v>
      </c>
      <c r="B468" s="72">
        <f t="shared" si="14"/>
        <v>-29146</v>
      </c>
      <c r="C468" s="70">
        <v>467</v>
      </c>
      <c r="E468" s="66">
        <v>29146</v>
      </c>
      <c r="F468" s="85">
        <v>45453</v>
      </c>
      <c r="G468" s="64" t="s">
        <v>18</v>
      </c>
      <c r="H468"/>
      <c r="I468"/>
    </row>
    <row r="469" spans="1:9" x14ac:dyDescent="0.35">
      <c r="A469" s="71">
        <f t="shared" si="15"/>
        <v>42919.099999999977</v>
      </c>
      <c r="B469" s="72">
        <f t="shared" si="14"/>
        <v>-112</v>
      </c>
      <c r="C469" s="70">
        <v>468</v>
      </c>
      <c r="E469" s="66">
        <v>112</v>
      </c>
      <c r="F469" s="85">
        <v>45453</v>
      </c>
      <c r="G469" s="64" t="s">
        <v>280</v>
      </c>
      <c r="H469"/>
      <c r="I469"/>
    </row>
    <row r="470" spans="1:9" x14ac:dyDescent="0.35">
      <c r="A470" s="71">
        <f t="shared" si="15"/>
        <v>41454.099999999977</v>
      </c>
      <c r="B470" s="72">
        <f t="shared" si="14"/>
        <v>-1465</v>
      </c>
      <c r="C470" s="70">
        <v>469</v>
      </c>
      <c r="E470" s="66">
        <v>1465</v>
      </c>
      <c r="F470" s="85">
        <v>45453</v>
      </c>
      <c r="G470" s="64" t="s">
        <v>284</v>
      </c>
      <c r="H470"/>
      <c r="I470"/>
    </row>
    <row r="471" spans="1:9" x14ac:dyDescent="0.35">
      <c r="A471" s="71">
        <f t="shared" si="15"/>
        <v>31454.099999999977</v>
      </c>
      <c r="B471" s="72">
        <f t="shared" si="14"/>
        <v>-10000</v>
      </c>
      <c r="C471" s="70">
        <v>470</v>
      </c>
      <c r="E471" s="66">
        <v>10000</v>
      </c>
      <c r="F471" s="85">
        <v>45453</v>
      </c>
      <c r="G471" s="64" t="s">
        <v>281</v>
      </c>
      <c r="H471"/>
      <c r="I471"/>
    </row>
    <row r="472" spans="1:9" x14ac:dyDescent="0.35">
      <c r="A472" s="71">
        <f t="shared" si="15"/>
        <v>34024.099999999977</v>
      </c>
      <c r="B472" s="72">
        <f t="shared" si="14"/>
        <v>2570</v>
      </c>
      <c r="C472" s="70">
        <v>471</v>
      </c>
      <c r="D472" s="65">
        <v>2610</v>
      </c>
      <c r="E472" s="66">
        <v>40</v>
      </c>
      <c r="F472" s="85">
        <v>45454</v>
      </c>
      <c r="G472" s="64" t="s">
        <v>283</v>
      </c>
      <c r="H472"/>
      <c r="I472"/>
    </row>
    <row r="473" spans="1:9" x14ac:dyDescent="0.35">
      <c r="A473" s="71">
        <f t="shared" si="15"/>
        <v>26024.099999999977</v>
      </c>
      <c r="B473" s="72">
        <f t="shared" si="14"/>
        <v>-8000</v>
      </c>
      <c r="C473" s="70">
        <v>472</v>
      </c>
      <c r="E473" s="66">
        <v>8000</v>
      </c>
      <c r="F473" s="85">
        <v>45454</v>
      </c>
      <c r="G473" s="64" t="s">
        <v>282</v>
      </c>
      <c r="H473"/>
      <c r="I473"/>
    </row>
    <row r="474" spans="1:9" x14ac:dyDescent="0.35">
      <c r="A474" s="71">
        <f t="shared" si="15"/>
        <v>25964.099999999977</v>
      </c>
      <c r="B474" s="72">
        <f t="shared" si="14"/>
        <v>-60</v>
      </c>
      <c r="C474" s="70">
        <v>473</v>
      </c>
      <c r="E474" s="66">
        <v>60</v>
      </c>
      <c r="F474" s="85">
        <v>45454</v>
      </c>
      <c r="G474" s="64" t="s">
        <v>56</v>
      </c>
      <c r="H474"/>
      <c r="I474"/>
    </row>
    <row r="475" spans="1:9" x14ac:dyDescent="0.35">
      <c r="A475" s="71">
        <f t="shared" si="15"/>
        <v>70616.099999999977</v>
      </c>
      <c r="B475" s="72">
        <f t="shared" si="14"/>
        <v>44652</v>
      </c>
      <c r="C475" s="70">
        <v>474</v>
      </c>
      <c r="D475" s="65">
        <v>44726</v>
      </c>
      <c r="E475" s="66">
        <v>74</v>
      </c>
      <c r="F475" s="85">
        <v>45454</v>
      </c>
      <c r="G475" s="64" t="s">
        <v>131</v>
      </c>
      <c r="H475"/>
      <c r="I475"/>
    </row>
    <row r="476" spans="1:9" x14ac:dyDescent="0.35">
      <c r="A476" s="71">
        <f t="shared" si="15"/>
        <v>70216.099999999977</v>
      </c>
      <c r="B476" s="72">
        <f t="shared" si="14"/>
        <v>-400</v>
      </c>
      <c r="C476" s="70">
        <v>475</v>
      </c>
      <c r="E476" s="66">
        <v>400</v>
      </c>
      <c r="F476" s="85">
        <v>45454</v>
      </c>
      <c r="G476" s="64" t="s">
        <v>285</v>
      </c>
      <c r="H476"/>
      <c r="I476"/>
    </row>
    <row r="477" spans="1:9" x14ac:dyDescent="0.35">
      <c r="A477" s="71">
        <f t="shared" si="15"/>
        <v>69316.099999999977</v>
      </c>
      <c r="B477" s="72">
        <f t="shared" si="14"/>
        <v>-900</v>
      </c>
      <c r="C477" s="70">
        <v>476</v>
      </c>
      <c r="E477" s="66">
        <v>900</v>
      </c>
      <c r="F477" s="85">
        <v>45454</v>
      </c>
      <c r="G477" s="64" t="s">
        <v>177</v>
      </c>
      <c r="H477"/>
      <c r="I477"/>
    </row>
    <row r="478" spans="1:9" x14ac:dyDescent="0.35">
      <c r="A478" s="71">
        <f t="shared" si="15"/>
        <v>66816.099999999977</v>
      </c>
      <c r="B478" s="72">
        <f t="shared" si="14"/>
        <v>-2500</v>
      </c>
      <c r="C478" s="70">
        <v>477</v>
      </c>
      <c r="E478" s="66">
        <v>2500</v>
      </c>
      <c r="F478" s="85">
        <v>45454</v>
      </c>
      <c r="G478" s="64" t="s">
        <v>288</v>
      </c>
      <c r="H478"/>
      <c r="I478"/>
    </row>
    <row r="479" spans="1:9" x14ac:dyDescent="0.35">
      <c r="A479" s="71">
        <f t="shared" si="15"/>
        <v>66776.099999999977</v>
      </c>
      <c r="B479" s="72">
        <f t="shared" si="14"/>
        <v>-40</v>
      </c>
      <c r="C479" s="70">
        <v>478</v>
      </c>
      <c r="E479" s="66">
        <v>40</v>
      </c>
      <c r="F479" s="85">
        <v>45454</v>
      </c>
      <c r="G479" s="64" t="s">
        <v>286</v>
      </c>
      <c r="H479"/>
      <c r="I479"/>
    </row>
    <row r="480" spans="1:9" x14ac:dyDescent="0.35">
      <c r="A480" s="71">
        <f t="shared" si="15"/>
        <v>66736.099999999977</v>
      </c>
      <c r="B480" s="72">
        <f t="shared" si="14"/>
        <v>-40</v>
      </c>
      <c r="C480" s="70">
        <v>479</v>
      </c>
      <c r="E480" s="66">
        <v>40</v>
      </c>
      <c r="F480" s="85">
        <v>45454</v>
      </c>
      <c r="G480" s="64" t="s">
        <v>287</v>
      </c>
      <c r="H480"/>
      <c r="I480"/>
    </row>
    <row r="481" spans="1:9" x14ac:dyDescent="0.35">
      <c r="A481" s="71">
        <f t="shared" si="15"/>
        <v>75596.099999999977</v>
      </c>
      <c r="B481" s="72">
        <f t="shared" si="14"/>
        <v>8860</v>
      </c>
      <c r="C481" s="70">
        <v>480</v>
      </c>
      <c r="D481" s="65">
        <v>8860</v>
      </c>
      <c r="F481" s="85">
        <v>45455</v>
      </c>
      <c r="G481" s="64" t="s">
        <v>12</v>
      </c>
      <c r="H481"/>
      <c r="I481"/>
    </row>
    <row r="482" spans="1:9" x14ac:dyDescent="0.35">
      <c r="A482" s="71">
        <f t="shared" si="15"/>
        <v>75409.099999999977</v>
      </c>
      <c r="B482" s="72">
        <f t="shared" si="14"/>
        <v>-187</v>
      </c>
      <c r="C482" s="70">
        <v>481</v>
      </c>
      <c r="E482" s="66">
        <v>187</v>
      </c>
      <c r="F482" s="85">
        <v>45455</v>
      </c>
      <c r="G482" s="64" t="s">
        <v>289</v>
      </c>
      <c r="H482"/>
      <c r="I482"/>
    </row>
    <row r="483" spans="1:9" x14ac:dyDescent="0.35">
      <c r="A483" s="71">
        <f t="shared" si="15"/>
        <v>72629.099999999977</v>
      </c>
      <c r="B483" s="72">
        <f t="shared" si="14"/>
        <v>-2780</v>
      </c>
      <c r="C483" s="70">
        <v>482</v>
      </c>
      <c r="E483" s="66">
        <v>2780</v>
      </c>
      <c r="F483" s="85">
        <v>45455</v>
      </c>
      <c r="G483" s="64" t="s">
        <v>290</v>
      </c>
      <c r="H483"/>
      <c r="I483"/>
    </row>
    <row r="484" spans="1:9" x14ac:dyDescent="0.35">
      <c r="A484" s="71">
        <f t="shared" si="15"/>
        <v>74099.099999999977</v>
      </c>
      <c r="B484" s="72">
        <f t="shared" si="14"/>
        <v>1470</v>
      </c>
      <c r="C484" s="70">
        <v>483</v>
      </c>
      <c r="D484" s="65">
        <v>1470</v>
      </c>
      <c r="F484" s="85">
        <v>45456</v>
      </c>
      <c r="G484" s="64" t="s">
        <v>12</v>
      </c>
      <c r="H484"/>
      <c r="I484"/>
    </row>
    <row r="485" spans="1:9" x14ac:dyDescent="0.35">
      <c r="A485" s="71">
        <f t="shared" si="15"/>
        <v>87221.099999999977</v>
      </c>
      <c r="B485" s="72">
        <f t="shared" si="14"/>
        <v>13122</v>
      </c>
      <c r="C485" s="70">
        <v>484</v>
      </c>
      <c r="D485" s="65">
        <v>13162</v>
      </c>
      <c r="E485" s="66">
        <v>40</v>
      </c>
      <c r="F485" s="85">
        <v>45465</v>
      </c>
      <c r="G485" s="64" t="s">
        <v>291</v>
      </c>
      <c r="H485"/>
      <c r="I485"/>
    </row>
    <row r="486" spans="1:9" x14ac:dyDescent="0.35">
      <c r="A486" s="71">
        <f t="shared" si="15"/>
        <v>87101.099999999977</v>
      </c>
      <c r="B486" s="72">
        <f t="shared" si="14"/>
        <v>-120</v>
      </c>
      <c r="C486" s="70">
        <v>485</v>
      </c>
      <c r="E486" s="66">
        <v>120</v>
      </c>
      <c r="F486" s="85">
        <v>45465</v>
      </c>
      <c r="G486" s="64" t="s">
        <v>65</v>
      </c>
      <c r="H486"/>
      <c r="I486"/>
    </row>
    <row r="487" spans="1:9" x14ac:dyDescent="0.35">
      <c r="A487" s="71">
        <f t="shared" si="15"/>
        <v>86861.099999999977</v>
      </c>
      <c r="B487" s="72">
        <f t="shared" si="14"/>
        <v>-240</v>
      </c>
      <c r="C487" s="70">
        <v>486</v>
      </c>
      <c r="E487" s="66">
        <v>240</v>
      </c>
      <c r="F487" s="85">
        <v>45465</v>
      </c>
      <c r="G487" s="64" t="s">
        <v>50</v>
      </c>
      <c r="H487"/>
      <c r="I487"/>
    </row>
    <row r="488" spans="1:9" x14ac:dyDescent="0.35">
      <c r="A488" s="71">
        <f t="shared" si="15"/>
        <v>84981.099999999977</v>
      </c>
      <c r="B488" s="72">
        <f t="shared" si="14"/>
        <v>-1880</v>
      </c>
      <c r="C488" s="70">
        <v>487</v>
      </c>
      <c r="E488" s="66">
        <v>1880</v>
      </c>
      <c r="F488" s="85">
        <v>45466</v>
      </c>
      <c r="G488" s="64" t="s">
        <v>292</v>
      </c>
      <c r="H488"/>
      <c r="I488"/>
    </row>
    <row r="489" spans="1:9" x14ac:dyDescent="0.35">
      <c r="A489" s="71">
        <f t="shared" si="15"/>
        <v>68981.099999999977</v>
      </c>
      <c r="B489" s="72">
        <f t="shared" si="14"/>
        <v>-16000</v>
      </c>
      <c r="C489" s="70">
        <v>488</v>
      </c>
      <c r="E489" s="66">
        <v>16000</v>
      </c>
      <c r="F489" s="85">
        <v>45466</v>
      </c>
      <c r="G489" s="64" t="s">
        <v>295</v>
      </c>
      <c r="H489"/>
      <c r="I489"/>
    </row>
    <row r="490" spans="1:9" x14ac:dyDescent="0.35">
      <c r="A490" s="71">
        <f t="shared" si="15"/>
        <v>68916.099999999977</v>
      </c>
      <c r="B490" s="72">
        <f t="shared" si="14"/>
        <v>-65</v>
      </c>
      <c r="C490" s="70">
        <v>489</v>
      </c>
      <c r="E490" s="66">
        <v>65</v>
      </c>
      <c r="F490" s="85">
        <v>45466</v>
      </c>
      <c r="G490" s="64" t="s">
        <v>36</v>
      </c>
      <c r="H490"/>
      <c r="I490"/>
    </row>
    <row r="491" spans="1:9" x14ac:dyDescent="0.35">
      <c r="A491" s="71">
        <f t="shared" si="15"/>
        <v>100616.09999999998</v>
      </c>
      <c r="B491" s="72">
        <f t="shared" si="14"/>
        <v>31700</v>
      </c>
      <c r="C491" s="70">
        <v>490</v>
      </c>
      <c r="D491" s="65">
        <v>32700</v>
      </c>
      <c r="E491" s="66">
        <v>1000</v>
      </c>
      <c r="F491" s="85">
        <v>45466</v>
      </c>
      <c r="G491" s="64" t="s">
        <v>64</v>
      </c>
      <c r="H491"/>
      <c r="I491"/>
    </row>
    <row r="492" spans="1:9" x14ac:dyDescent="0.35">
      <c r="A492" s="71">
        <f t="shared" si="15"/>
        <v>104796.09999999998</v>
      </c>
      <c r="B492" s="72">
        <f t="shared" si="14"/>
        <v>4180</v>
      </c>
      <c r="C492" s="70">
        <v>491</v>
      </c>
      <c r="D492" s="65">
        <v>4240</v>
      </c>
      <c r="E492" s="66">
        <v>60</v>
      </c>
      <c r="F492" s="85">
        <v>45467</v>
      </c>
      <c r="G492" s="64" t="s">
        <v>20</v>
      </c>
      <c r="H492"/>
      <c r="I492"/>
    </row>
    <row r="493" spans="1:9" x14ac:dyDescent="0.35">
      <c r="A493" s="71">
        <f t="shared" si="15"/>
        <v>104246.09999999998</v>
      </c>
      <c r="B493" s="72">
        <f t="shared" si="14"/>
        <v>-550</v>
      </c>
      <c r="C493" s="70">
        <v>492</v>
      </c>
      <c r="E493" s="66">
        <v>550</v>
      </c>
      <c r="F493" s="85">
        <v>45467</v>
      </c>
      <c r="G493" s="64" t="s">
        <v>293</v>
      </c>
      <c r="H493"/>
      <c r="I493"/>
    </row>
    <row r="494" spans="1:9" x14ac:dyDescent="0.35">
      <c r="A494" s="71">
        <f t="shared" si="15"/>
        <v>97946.099999999977</v>
      </c>
      <c r="B494" s="72">
        <f t="shared" si="14"/>
        <v>-6300</v>
      </c>
      <c r="C494" s="70">
        <v>493</v>
      </c>
      <c r="E494" s="66">
        <v>6300</v>
      </c>
      <c r="F494" s="85">
        <v>45467</v>
      </c>
      <c r="G494" s="64" t="s">
        <v>294</v>
      </c>
      <c r="H494"/>
      <c r="I494"/>
    </row>
    <row r="495" spans="1:9" x14ac:dyDescent="0.35">
      <c r="A495" s="71">
        <f t="shared" si="15"/>
        <v>97926.099999999977</v>
      </c>
      <c r="B495" s="72">
        <f t="shared" si="14"/>
        <v>-20</v>
      </c>
      <c r="C495" s="70">
        <v>494</v>
      </c>
      <c r="E495" s="66">
        <v>20</v>
      </c>
      <c r="F495" s="85">
        <v>45467</v>
      </c>
      <c r="G495" s="64" t="s">
        <v>296</v>
      </c>
      <c r="H495"/>
      <c r="I495"/>
    </row>
    <row r="496" spans="1:9" x14ac:dyDescent="0.35">
      <c r="A496" s="71">
        <f t="shared" si="15"/>
        <v>143496.09999999998</v>
      </c>
      <c r="B496" s="72">
        <f t="shared" si="14"/>
        <v>45570</v>
      </c>
      <c r="C496" s="70">
        <v>495</v>
      </c>
      <c r="D496" s="65">
        <v>45570</v>
      </c>
      <c r="F496" s="85">
        <v>45468</v>
      </c>
      <c r="G496" s="64" t="s">
        <v>12</v>
      </c>
      <c r="H496"/>
      <c r="I496"/>
    </row>
    <row r="497" spans="1:9" x14ac:dyDescent="0.35">
      <c r="A497" s="71">
        <f t="shared" si="15"/>
        <v>165006.09999999998</v>
      </c>
      <c r="B497" s="72">
        <f t="shared" si="14"/>
        <v>21510</v>
      </c>
      <c r="C497" s="70">
        <v>496</v>
      </c>
      <c r="D497" s="65">
        <v>21510</v>
      </c>
      <c r="F497" s="85">
        <v>45469</v>
      </c>
      <c r="G497" s="64" t="s">
        <v>12</v>
      </c>
      <c r="H497"/>
      <c r="I497"/>
    </row>
    <row r="498" spans="1:9" x14ac:dyDescent="0.35">
      <c r="A498" s="71">
        <f t="shared" si="15"/>
        <v>164981.09999999998</v>
      </c>
      <c r="B498" s="72">
        <f t="shared" si="14"/>
        <v>-25</v>
      </c>
      <c r="C498" s="70">
        <v>497</v>
      </c>
      <c r="E498" s="66">
        <v>25</v>
      </c>
      <c r="F498" s="85">
        <v>45469</v>
      </c>
      <c r="G498" s="64" t="s">
        <v>133</v>
      </c>
      <c r="H498"/>
      <c r="I498"/>
    </row>
    <row r="499" spans="1:9" x14ac:dyDescent="0.35">
      <c r="A499" s="71">
        <f t="shared" si="15"/>
        <v>166651.09999999998</v>
      </c>
      <c r="B499" s="72">
        <f t="shared" si="14"/>
        <v>1670</v>
      </c>
      <c r="C499" s="70">
        <v>498</v>
      </c>
      <c r="D499" s="65">
        <v>1790</v>
      </c>
      <c r="E499" s="66">
        <v>120</v>
      </c>
      <c r="F499" s="85">
        <v>45470</v>
      </c>
      <c r="G499" s="64" t="s">
        <v>50</v>
      </c>
      <c r="H499"/>
      <c r="I499"/>
    </row>
    <row r="500" spans="1:9" x14ac:dyDescent="0.35">
      <c r="A500" s="71">
        <f t="shared" si="15"/>
        <v>171041.09999999998</v>
      </c>
      <c r="B500" s="72">
        <f t="shared" si="14"/>
        <v>4390</v>
      </c>
      <c r="C500" s="70">
        <v>499</v>
      </c>
      <c r="D500" s="65">
        <v>4390</v>
      </c>
      <c r="F500" s="85">
        <v>45472</v>
      </c>
      <c r="G500" s="64" t="s">
        <v>12</v>
      </c>
      <c r="H500"/>
      <c r="I500"/>
    </row>
    <row r="501" spans="1:9" x14ac:dyDescent="0.35">
      <c r="A501" s="71">
        <f t="shared" si="15"/>
        <v>111615.09999999998</v>
      </c>
      <c r="B501" s="72">
        <f t="shared" si="14"/>
        <v>-59426</v>
      </c>
      <c r="C501" s="70">
        <v>500</v>
      </c>
      <c r="E501" s="66">
        <v>59426</v>
      </c>
      <c r="F501" s="85">
        <v>45473</v>
      </c>
      <c r="G501" s="64" t="s">
        <v>298</v>
      </c>
      <c r="H501"/>
      <c r="I501"/>
    </row>
    <row r="502" spans="1:9" x14ac:dyDescent="0.35">
      <c r="A502" s="71">
        <f t="shared" si="15"/>
        <v>111636.59999999998</v>
      </c>
      <c r="B502" s="72">
        <f t="shared" si="14"/>
        <v>21.5</v>
      </c>
      <c r="C502" s="70">
        <v>501</v>
      </c>
      <c r="D502" s="65">
        <v>21.5</v>
      </c>
      <c r="F502" s="85">
        <v>45473</v>
      </c>
      <c r="G502" s="64" t="s">
        <v>247</v>
      </c>
      <c r="H502"/>
      <c r="I502"/>
    </row>
    <row r="503" spans="1:9" x14ac:dyDescent="0.35">
      <c r="A503" s="71">
        <f t="shared" si="15"/>
        <v>107586.59999999998</v>
      </c>
      <c r="B503" s="72">
        <f t="shared" si="14"/>
        <v>-4050</v>
      </c>
      <c r="C503" s="70">
        <v>502</v>
      </c>
      <c r="E503" s="66">
        <v>4050</v>
      </c>
      <c r="F503" s="85">
        <v>45473</v>
      </c>
      <c r="G503" s="64" t="s">
        <v>297</v>
      </c>
      <c r="H503"/>
      <c r="I503"/>
    </row>
    <row r="504" spans="1:9" x14ac:dyDescent="0.35">
      <c r="A504" s="71">
        <f t="shared" si="15"/>
        <v>144541.59999999998</v>
      </c>
      <c r="B504" s="72">
        <f t="shared" si="14"/>
        <v>36955</v>
      </c>
      <c r="C504" s="70">
        <v>503</v>
      </c>
      <c r="D504" s="65">
        <v>37955</v>
      </c>
      <c r="E504" s="66">
        <v>1000</v>
      </c>
      <c r="F504" s="85">
        <v>45473</v>
      </c>
      <c r="G504" s="64" t="s">
        <v>64</v>
      </c>
      <c r="H504"/>
      <c r="I504"/>
    </row>
    <row r="505" spans="1:9" x14ac:dyDescent="0.35">
      <c r="A505" s="71">
        <f t="shared" si="15"/>
        <v>143927.59999999998</v>
      </c>
      <c r="B505" s="72">
        <f t="shared" si="14"/>
        <v>-614</v>
      </c>
      <c r="C505" s="70">
        <v>504</v>
      </c>
      <c r="E505" s="66">
        <v>614</v>
      </c>
      <c r="F505" s="85">
        <v>45474</v>
      </c>
      <c r="G505" s="64" t="s">
        <v>299</v>
      </c>
      <c r="H505"/>
      <c r="I505"/>
    </row>
    <row r="506" spans="1:9" x14ac:dyDescent="0.35">
      <c r="A506" s="71">
        <f t="shared" si="15"/>
        <v>143927.59999999998</v>
      </c>
      <c r="B506" s="72">
        <f t="shared" si="14"/>
        <v>0</v>
      </c>
      <c r="C506" s="70">
        <v>505</v>
      </c>
      <c r="D506" s="65">
        <v>500</v>
      </c>
      <c r="E506" s="66">
        <v>500</v>
      </c>
      <c r="F506" s="85">
        <v>45474</v>
      </c>
      <c r="G506" s="64" t="s">
        <v>316</v>
      </c>
      <c r="H506"/>
      <c r="I506"/>
    </row>
    <row r="507" spans="1:9" x14ac:dyDescent="0.35">
      <c r="A507" s="71">
        <f t="shared" si="15"/>
        <v>142927.59999999998</v>
      </c>
      <c r="B507" s="72">
        <f t="shared" si="14"/>
        <v>-1000</v>
      </c>
      <c r="C507" s="70">
        <v>506</v>
      </c>
      <c r="E507" s="66">
        <v>1000</v>
      </c>
      <c r="F507" s="85">
        <v>45474</v>
      </c>
      <c r="G507" s="64" t="s">
        <v>177</v>
      </c>
      <c r="H507"/>
      <c r="I507"/>
    </row>
    <row r="508" spans="1:9" x14ac:dyDescent="0.35">
      <c r="A508" s="71">
        <f t="shared" si="15"/>
        <v>136927.59999999998</v>
      </c>
      <c r="B508" s="72">
        <f t="shared" si="14"/>
        <v>-6000</v>
      </c>
      <c r="C508" s="70">
        <v>507</v>
      </c>
      <c r="E508" s="66">
        <v>6000</v>
      </c>
      <c r="F508" s="85">
        <v>45474</v>
      </c>
      <c r="G508" s="64" t="s">
        <v>300</v>
      </c>
      <c r="H508"/>
      <c r="I508"/>
    </row>
    <row r="509" spans="1:9" x14ac:dyDescent="0.35">
      <c r="A509" s="71">
        <f t="shared" si="15"/>
        <v>139907.59999999998</v>
      </c>
      <c r="B509" s="72">
        <f t="shared" si="14"/>
        <v>2980</v>
      </c>
      <c r="C509" s="70">
        <v>508</v>
      </c>
      <c r="D509" s="65">
        <v>3040</v>
      </c>
      <c r="E509" s="66">
        <v>60</v>
      </c>
      <c r="F509" s="85">
        <v>45474</v>
      </c>
      <c r="G509" s="64" t="s">
        <v>301</v>
      </c>
      <c r="H509"/>
      <c r="I509"/>
    </row>
    <row r="510" spans="1:9" x14ac:dyDescent="0.35">
      <c r="A510" s="71">
        <f t="shared" si="15"/>
        <v>139322.59999999998</v>
      </c>
      <c r="B510" s="72">
        <f t="shared" si="14"/>
        <v>-585</v>
      </c>
      <c r="C510" s="70">
        <v>509</v>
      </c>
      <c r="E510" s="66">
        <v>585</v>
      </c>
      <c r="F510" s="85">
        <v>45474</v>
      </c>
      <c r="G510" s="64" t="s">
        <v>302</v>
      </c>
      <c r="H510"/>
      <c r="I510"/>
    </row>
    <row r="511" spans="1:9" x14ac:dyDescent="0.35">
      <c r="A511" s="71">
        <f t="shared" si="15"/>
        <v>121822.59999999998</v>
      </c>
      <c r="B511" s="72">
        <f t="shared" si="14"/>
        <v>-17500</v>
      </c>
      <c r="C511" s="70">
        <v>510</v>
      </c>
      <c r="E511" s="66">
        <v>17500</v>
      </c>
      <c r="F511" s="85">
        <v>45475</v>
      </c>
      <c r="G511" s="64" t="s">
        <v>17</v>
      </c>
      <c r="H511"/>
      <c r="I511"/>
    </row>
    <row r="512" spans="1:9" x14ac:dyDescent="0.35">
      <c r="A512" s="71">
        <f t="shared" si="15"/>
        <v>121562.59999999998</v>
      </c>
      <c r="B512" s="72">
        <f t="shared" si="14"/>
        <v>-260</v>
      </c>
      <c r="C512" s="70">
        <v>511</v>
      </c>
      <c r="E512" s="66">
        <v>260</v>
      </c>
      <c r="F512" s="85">
        <v>45475</v>
      </c>
      <c r="G512" s="64" t="s">
        <v>303</v>
      </c>
      <c r="H512"/>
      <c r="I512"/>
    </row>
    <row r="513" spans="1:9" x14ac:dyDescent="0.35">
      <c r="A513" s="71">
        <f t="shared" si="15"/>
        <v>121562.59999999998</v>
      </c>
      <c r="B513" s="72">
        <f t="shared" si="14"/>
        <v>0</v>
      </c>
      <c r="C513" s="70">
        <v>512</v>
      </c>
      <c r="D513" s="65">
        <v>2100</v>
      </c>
      <c r="E513" s="66">
        <v>2100</v>
      </c>
      <c r="F513" s="85">
        <v>45475</v>
      </c>
      <c r="G513" s="64" t="s">
        <v>317</v>
      </c>
      <c r="H513"/>
      <c r="I513"/>
    </row>
    <row r="514" spans="1:9" x14ac:dyDescent="0.35">
      <c r="A514" s="71">
        <f t="shared" si="15"/>
        <v>161067.59999999998</v>
      </c>
      <c r="B514" s="72">
        <f t="shared" si="14"/>
        <v>39505</v>
      </c>
      <c r="C514" s="70">
        <v>513</v>
      </c>
      <c r="D514" s="65">
        <v>40505</v>
      </c>
      <c r="E514" s="66">
        <v>1000</v>
      </c>
      <c r="F514" s="85">
        <v>45475</v>
      </c>
      <c r="G514" s="64" t="s">
        <v>222</v>
      </c>
      <c r="H514"/>
      <c r="I514"/>
    </row>
    <row r="515" spans="1:9" x14ac:dyDescent="0.35">
      <c r="A515" s="71">
        <f t="shared" si="15"/>
        <v>160947.59999999998</v>
      </c>
      <c r="B515" s="72">
        <f t="shared" ref="B515:B578" si="16">SUM(D515-E515)</f>
        <v>-120</v>
      </c>
      <c r="C515" s="70">
        <v>514</v>
      </c>
      <c r="E515" s="66">
        <v>120</v>
      </c>
      <c r="F515" s="85">
        <v>45475</v>
      </c>
      <c r="G515" s="64" t="s">
        <v>25</v>
      </c>
      <c r="H515"/>
      <c r="I515"/>
    </row>
    <row r="516" spans="1:9" x14ac:dyDescent="0.35">
      <c r="A516" s="71">
        <f t="shared" ref="A516:A579" si="17">SUM(A515+B516)</f>
        <v>160827.59999999998</v>
      </c>
      <c r="B516" s="72">
        <f t="shared" si="16"/>
        <v>-120</v>
      </c>
      <c r="C516" s="70">
        <v>515</v>
      </c>
      <c r="E516" s="66">
        <v>120</v>
      </c>
      <c r="F516" s="85">
        <v>45475</v>
      </c>
      <c r="G516" s="64" t="s">
        <v>39</v>
      </c>
      <c r="H516"/>
      <c r="I516"/>
    </row>
    <row r="517" spans="1:9" x14ac:dyDescent="0.35">
      <c r="A517" s="71">
        <f t="shared" si="17"/>
        <v>160827.59999999998</v>
      </c>
      <c r="B517" s="72">
        <f t="shared" si="16"/>
        <v>0</v>
      </c>
      <c r="C517" s="70">
        <v>516</v>
      </c>
      <c r="D517" s="65">
        <v>2425</v>
      </c>
      <c r="E517" s="66">
        <v>2425</v>
      </c>
      <c r="F517" s="85">
        <v>45475</v>
      </c>
      <c r="G517" s="64" t="s">
        <v>315</v>
      </c>
      <c r="H517"/>
      <c r="I517"/>
    </row>
    <row r="518" spans="1:9" x14ac:dyDescent="0.35">
      <c r="A518" s="71">
        <f t="shared" si="17"/>
        <v>160627.59999999998</v>
      </c>
      <c r="B518" s="72">
        <f t="shared" si="16"/>
        <v>-200</v>
      </c>
      <c r="C518" s="70">
        <v>517</v>
      </c>
      <c r="E518" s="66">
        <v>200</v>
      </c>
      <c r="F518" s="85">
        <v>45475</v>
      </c>
      <c r="G518" s="64" t="s">
        <v>304</v>
      </c>
      <c r="H518"/>
      <c r="I518"/>
    </row>
    <row r="519" spans="1:9" x14ac:dyDescent="0.35">
      <c r="A519" s="71">
        <f t="shared" si="17"/>
        <v>182037.59999999998</v>
      </c>
      <c r="B519" s="72">
        <f t="shared" si="16"/>
        <v>21410</v>
      </c>
      <c r="C519" s="70">
        <v>518</v>
      </c>
      <c r="D519" s="65">
        <v>21485</v>
      </c>
      <c r="E519" s="66">
        <v>75</v>
      </c>
      <c r="F519" s="85">
        <v>45476</v>
      </c>
      <c r="G519" s="64" t="s">
        <v>122</v>
      </c>
      <c r="H519"/>
      <c r="I519"/>
    </row>
    <row r="520" spans="1:9" x14ac:dyDescent="0.35">
      <c r="A520" s="71">
        <f t="shared" si="17"/>
        <v>157837.59999999998</v>
      </c>
      <c r="B520" s="72">
        <f t="shared" si="16"/>
        <v>-24200</v>
      </c>
      <c r="C520" s="70">
        <v>519</v>
      </c>
      <c r="E520" s="66">
        <v>24200</v>
      </c>
      <c r="F520" s="85">
        <v>45476</v>
      </c>
      <c r="G520" s="64" t="s">
        <v>15</v>
      </c>
      <c r="H520"/>
      <c r="I520"/>
    </row>
    <row r="521" spans="1:9" x14ac:dyDescent="0.35">
      <c r="A521" s="71">
        <f t="shared" si="17"/>
        <v>137837.59999999998</v>
      </c>
      <c r="B521" s="72">
        <f t="shared" si="16"/>
        <v>-20000</v>
      </c>
      <c r="C521" s="70">
        <v>520</v>
      </c>
      <c r="E521" s="66">
        <v>20000</v>
      </c>
      <c r="F521" s="85">
        <v>45476</v>
      </c>
      <c r="G521" s="64" t="s">
        <v>305</v>
      </c>
      <c r="H521"/>
      <c r="I521"/>
    </row>
    <row r="522" spans="1:9" x14ac:dyDescent="0.35">
      <c r="A522" s="71">
        <f t="shared" si="17"/>
        <v>57837.599999999977</v>
      </c>
      <c r="B522" s="72">
        <f t="shared" si="16"/>
        <v>-80000</v>
      </c>
      <c r="C522" s="70">
        <v>521</v>
      </c>
      <c r="E522" s="66">
        <v>80000</v>
      </c>
      <c r="F522" s="85">
        <v>45476</v>
      </c>
      <c r="G522" s="64" t="s">
        <v>306</v>
      </c>
      <c r="H522"/>
      <c r="I522"/>
    </row>
    <row r="523" spans="1:9" x14ac:dyDescent="0.35">
      <c r="A523" s="71">
        <f t="shared" si="17"/>
        <v>60162.599999999977</v>
      </c>
      <c r="B523" s="72">
        <f t="shared" si="16"/>
        <v>2325</v>
      </c>
      <c r="C523" s="70">
        <v>522</v>
      </c>
      <c r="D523" s="65">
        <v>2600</v>
      </c>
      <c r="E523" s="66">
        <v>275</v>
      </c>
      <c r="F523" s="85">
        <v>45477</v>
      </c>
      <c r="G523" s="64" t="s">
        <v>311</v>
      </c>
      <c r="H523"/>
      <c r="I523"/>
    </row>
    <row r="524" spans="1:9" x14ac:dyDescent="0.35">
      <c r="A524" s="71">
        <f t="shared" si="17"/>
        <v>66622.599999999977</v>
      </c>
      <c r="B524" s="72">
        <f t="shared" si="16"/>
        <v>6460</v>
      </c>
      <c r="C524" s="70">
        <v>523</v>
      </c>
      <c r="D524" s="65">
        <v>6520</v>
      </c>
      <c r="E524" s="66">
        <v>60</v>
      </c>
      <c r="F524" s="85">
        <v>45479</v>
      </c>
      <c r="G524" s="64" t="s">
        <v>307</v>
      </c>
      <c r="H524"/>
      <c r="I524"/>
    </row>
    <row r="525" spans="1:9" x14ac:dyDescent="0.35">
      <c r="A525" s="71">
        <f t="shared" si="17"/>
        <v>68622.599999999977</v>
      </c>
      <c r="B525" s="72">
        <f t="shared" si="16"/>
        <v>2000</v>
      </c>
      <c r="C525" s="70">
        <v>524</v>
      </c>
      <c r="D525" s="65">
        <v>2000</v>
      </c>
      <c r="F525" s="85">
        <v>45480</v>
      </c>
      <c r="G525" s="64" t="s">
        <v>308</v>
      </c>
      <c r="H525"/>
      <c r="I525"/>
    </row>
    <row r="526" spans="1:9" x14ac:dyDescent="0.35">
      <c r="A526" s="71">
        <f t="shared" si="17"/>
        <v>112680.59999999998</v>
      </c>
      <c r="B526" s="72">
        <f t="shared" si="16"/>
        <v>44058</v>
      </c>
      <c r="C526" s="70">
        <v>525</v>
      </c>
      <c r="D526" s="65">
        <v>45445</v>
      </c>
      <c r="E526" s="66">
        <v>1387</v>
      </c>
      <c r="F526" s="85">
        <v>45480</v>
      </c>
      <c r="G526" s="64" t="s">
        <v>312</v>
      </c>
      <c r="H526"/>
      <c r="I526"/>
    </row>
    <row r="527" spans="1:9" x14ac:dyDescent="0.35">
      <c r="A527" s="71">
        <f t="shared" si="17"/>
        <v>117720.59999999998</v>
      </c>
      <c r="B527" s="72">
        <f t="shared" si="16"/>
        <v>5040</v>
      </c>
      <c r="C527" s="70">
        <v>526</v>
      </c>
      <c r="D527" s="65">
        <v>7140</v>
      </c>
      <c r="E527" s="66">
        <v>2100</v>
      </c>
      <c r="F527" s="85">
        <v>45481</v>
      </c>
      <c r="G527" s="64" t="s">
        <v>313</v>
      </c>
      <c r="H527"/>
      <c r="I527"/>
    </row>
    <row r="528" spans="1:9" x14ac:dyDescent="0.35">
      <c r="A528" s="71">
        <f t="shared" si="17"/>
        <v>117645.59999999998</v>
      </c>
      <c r="B528" s="72">
        <f t="shared" si="16"/>
        <v>-75</v>
      </c>
      <c r="C528" s="70">
        <v>527</v>
      </c>
      <c r="E528" s="66">
        <v>75</v>
      </c>
      <c r="F528" s="85">
        <v>45481</v>
      </c>
      <c r="G528" s="64" t="s">
        <v>309</v>
      </c>
      <c r="H528"/>
      <c r="I528"/>
    </row>
    <row r="529" spans="1:9" x14ac:dyDescent="0.35">
      <c r="A529" s="71">
        <f t="shared" si="17"/>
        <v>117605.59999999998</v>
      </c>
      <c r="B529" s="72">
        <f t="shared" si="16"/>
        <v>-40</v>
      </c>
      <c r="C529" s="70">
        <v>528</v>
      </c>
      <c r="E529" s="66">
        <v>40</v>
      </c>
      <c r="F529" s="85">
        <v>45481</v>
      </c>
      <c r="G529" s="64" t="s">
        <v>310</v>
      </c>
      <c r="H529"/>
      <c r="I529"/>
    </row>
    <row r="530" spans="1:9" x14ac:dyDescent="0.35">
      <c r="A530" s="71">
        <f t="shared" si="17"/>
        <v>117565.59999999998</v>
      </c>
      <c r="B530" s="72">
        <f t="shared" si="16"/>
        <v>-40</v>
      </c>
      <c r="C530" s="70">
        <v>529</v>
      </c>
      <c r="E530" s="66">
        <v>40</v>
      </c>
      <c r="F530" s="85">
        <v>45481</v>
      </c>
      <c r="G530" s="64" t="s">
        <v>296</v>
      </c>
      <c r="H530"/>
      <c r="I530"/>
    </row>
    <row r="531" spans="1:9" x14ac:dyDescent="0.35">
      <c r="A531" s="71">
        <f t="shared" si="17"/>
        <v>157055.59999999998</v>
      </c>
      <c r="B531" s="72">
        <f t="shared" si="16"/>
        <v>39490</v>
      </c>
      <c r="C531" s="70">
        <v>530</v>
      </c>
      <c r="D531" s="65">
        <v>39490</v>
      </c>
      <c r="F531" s="85">
        <v>45482</v>
      </c>
      <c r="G531" s="64" t="s">
        <v>12</v>
      </c>
      <c r="H531"/>
      <c r="I531"/>
    </row>
    <row r="532" spans="1:9" x14ac:dyDescent="0.35">
      <c r="A532" s="71">
        <f t="shared" si="17"/>
        <v>57055.599999999977</v>
      </c>
      <c r="B532" s="72">
        <f t="shared" si="16"/>
        <v>-100000</v>
      </c>
      <c r="C532" s="70">
        <v>531</v>
      </c>
      <c r="E532" s="66">
        <v>100000</v>
      </c>
      <c r="F532" s="85">
        <v>45482</v>
      </c>
      <c r="G532" s="64" t="s">
        <v>306</v>
      </c>
      <c r="H532"/>
      <c r="I532"/>
    </row>
    <row r="533" spans="1:9" x14ac:dyDescent="0.35">
      <c r="A533" s="71">
        <f t="shared" si="17"/>
        <v>28040.599999999977</v>
      </c>
      <c r="B533" s="72">
        <f t="shared" si="16"/>
        <v>-29015</v>
      </c>
      <c r="C533" s="70">
        <v>532</v>
      </c>
      <c r="E533" s="66">
        <v>29015</v>
      </c>
      <c r="F533" s="85">
        <v>45483</v>
      </c>
      <c r="G533" s="64" t="s">
        <v>18</v>
      </c>
      <c r="H533"/>
      <c r="I533"/>
    </row>
    <row r="534" spans="1:9" x14ac:dyDescent="0.35">
      <c r="A534" s="71">
        <f t="shared" si="17"/>
        <v>18040.599999999977</v>
      </c>
      <c r="B534" s="72">
        <f t="shared" si="16"/>
        <v>-10000</v>
      </c>
      <c r="C534" s="70">
        <v>533</v>
      </c>
      <c r="E534" s="66">
        <v>10000</v>
      </c>
      <c r="F534" s="85">
        <v>45483</v>
      </c>
      <c r="G534" s="64" t="s">
        <v>279</v>
      </c>
      <c r="H534"/>
      <c r="I534"/>
    </row>
    <row r="535" spans="1:9" x14ac:dyDescent="0.35">
      <c r="A535" s="71">
        <f t="shared" si="17"/>
        <v>44835.599999999977</v>
      </c>
      <c r="B535" s="72">
        <f t="shared" si="16"/>
        <v>26795</v>
      </c>
      <c r="C535" s="70">
        <v>534</v>
      </c>
      <c r="D535" s="65">
        <v>26795</v>
      </c>
      <c r="F535" s="85">
        <v>45483</v>
      </c>
      <c r="G535" s="64" t="s">
        <v>12</v>
      </c>
      <c r="H535"/>
      <c r="I535"/>
    </row>
    <row r="536" spans="1:9" x14ac:dyDescent="0.35">
      <c r="A536" s="71">
        <f t="shared" si="17"/>
        <v>44490.599999999977</v>
      </c>
      <c r="B536" s="72">
        <f t="shared" si="16"/>
        <v>-345</v>
      </c>
      <c r="C536" s="70">
        <v>535</v>
      </c>
      <c r="E536" s="66">
        <v>345</v>
      </c>
      <c r="F536" s="85">
        <v>45483</v>
      </c>
      <c r="G536" s="64" t="s">
        <v>48</v>
      </c>
      <c r="H536"/>
      <c r="I536"/>
    </row>
    <row r="537" spans="1:9" x14ac:dyDescent="0.35">
      <c r="A537" s="71">
        <f t="shared" si="17"/>
        <v>44425.599999999977</v>
      </c>
      <c r="B537" s="72">
        <f t="shared" si="16"/>
        <v>-65</v>
      </c>
      <c r="C537" s="70">
        <v>536</v>
      </c>
      <c r="E537" s="66">
        <v>65</v>
      </c>
      <c r="F537" s="85">
        <v>45483</v>
      </c>
      <c r="G537" s="64" t="s">
        <v>114</v>
      </c>
      <c r="H537"/>
      <c r="I537"/>
    </row>
    <row r="538" spans="1:9" x14ac:dyDescent="0.35">
      <c r="A538" s="71">
        <f t="shared" si="17"/>
        <v>44350.599999999977</v>
      </c>
      <c r="B538" s="72">
        <f t="shared" si="16"/>
        <v>-75</v>
      </c>
      <c r="C538" s="70">
        <v>537</v>
      </c>
      <c r="E538" s="66">
        <v>75</v>
      </c>
      <c r="F538" s="85">
        <v>45483</v>
      </c>
      <c r="G538" s="64" t="s">
        <v>314</v>
      </c>
      <c r="H538"/>
      <c r="I538"/>
    </row>
    <row r="539" spans="1:9" x14ac:dyDescent="0.35">
      <c r="A539" s="71">
        <f t="shared" si="17"/>
        <v>43950.599999999977</v>
      </c>
      <c r="B539" s="72">
        <f t="shared" si="16"/>
        <v>-400</v>
      </c>
      <c r="C539" s="70">
        <v>538</v>
      </c>
      <c r="E539" s="66">
        <v>400</v>
      </c>
      <c r="F539" s="85">
        <v>45484</v>
      </c>
      <c r="G539" s="64" t="s">
        <v>318</v>
      </c>
      <c r="H539"/>
      <c r="I539"/>
    </row>
    <row r="540" spans="1:9" x14ac:dyDescent="0.35">
      <c r="A540" s="71">
        <f t="shared" si="17"/>
        <v>47240.599999999977</v>
      </c>
      <c r="B540" s="72">
        <f t="shared" si="16"/>
        <v>3290</v>
      </c>
      <c r="C540" s="70">
        <v>539</v>
      </c>
      <c r="D540" s="65">
        <v>3510</v>
      </c>
      <c r="E540" s="66">
        <v>220</v>
      </c>
      <c r="F540" s="85">
        <v>45484</v>
      </c>
      <c r="G540" s="64" t="s">
        <v>50</v>
      </c>
      <c r="H540"/>
      <c r="I540"/>
    </row>
    <row r="541" spans="1:9" x14ac:dyDescent="0.35">
      <c r="A541" s="71">
        <f t="shared" si="17"/>
        <v>58890.599999999977</v>
      </c>
      <c r="B541" s="72">
        <f t="shared" si="16"/>
        <v>11650</v>
      </c>
      <c r="C541" s="70">
        <v>540</v>
      </c>
      <c r="D541" s="65">
        <v>11650</v>
      </c>
      <c r="F541" s="85">
        <v>45486</v>
      </c>
      <c r="G541" s="64" t="s">
        <v>12</v>
      </c>
      <c r="H541"/>
      <c r="I541"/>
    </row>
    <row r="542" spans="1:9" x14ac:dyDescent="0.35">
      <c r="A542" s="71">
        <f t="shared" si="17"/>
        <v>104050.59999999998</v>
      </c>
      <c r="B542" s="72">
        <f t="shared" si="16"/>
        <v>45160</v>
      </c>
      <c r="C542" s="70">
        <v>541</v>
      </c>
      <c r="D542" s="65">
        <v>45160</v>
      </c>
      <c r="F542" s="85">
        <v>45487</v>
      </c>
      <c r="G542" s="64" t="s">
        <v>12</v>
      </c>
      <c r="H542"/>
      <c r="I542"/>
    </row>
    <row r="543" spans="1:9" x14ac:dyDescent="0.35">
      <c r="A543" s="71">
        <f t="shared" si="17"/>
        <v>84050.599999999977</v>
      </c>
      <c r="B543" s="72">
        <f t="shared" si="16"/>
        <v>-20000</v>
      </c>
      <c r="C543" s="70">
        <v>542</v>
      </c>
      <c r="E543" s="66">
        <v>20000</v>
      </c>
      <c r="F543" s="85">
        <v>45487</v>
      </c>
      <c r="G543" s="64" t="s">
        <v>324</v>
      </c>
      <c r="H543"/>
      <c r="I543"/>
    </row>
    <row r="544" spans="1:9" x14ac:dyDescent="0.35">
      <c r="A544" s="71">
        <f t="shared" si="17"/>
        <v>83990.599999999977</v>
      </c>
      <c r="B544" s="72">
        <f t="shared" si="16"/>
        <v>-60</v>
      </c>
      <c r="C544" s="70">
        <v>543</v>
      </c>
      <c r="E544" s="66">
        <v>60</v>
      </c>
      <c r="F544" s="85">
        <v>45487</v>
      </c>
      <c r="G544" s="64" t="s">
        <v>31</v>
      </c>
      <c r="H544"/>
      <c r="I544"/>
    </row>
    <row r="545" spans="1:9" x14ac:dyDescent="0.35">
      <c r="A545" s="71">
        <f t="shared" si="17"/>
        <v>88570.599999999977</v>
      </c>
      <c r="B545" s="72">
        <f t="shared" si="16"/>
        <v>4580</v>
      </c>
      <c r="C545" s="70">
        <v>544</v>
      </c>
      <c r="D545" s="65">
        <v>4645</v>
      </c>
      <c r="E545" s="66">
        <v>65</v>
      </c>
      <c r="F545" s="85">
        <v>45488</v>
      </c>
      <c r="G545" s="64" t="s">
        <v>36</v>
      </c>
      <c r="H545"/>
      <c r="I545"/>
    </row>
    <row r="546" spans="1:9" x14ac:dyDescent="0.35">
      <c r="A546" s="71">
        <f t="shared" si="17"/>
        <v>87570.599999999977</v>
      </c>
      <c r="B546" s="72">
        <f t="shared" si="16"/>
        <v>-1000</v>
      </c>
      <c r="C546" s="70">
        <v>545</v>
      </c>
      <c r="E546" s="66">
        <v>1000</v>
      </c>
      <c r="F546" s="85">
        <v>45488</v>
      </c>
      <c r="G546" s="64" t="s">
        <v>64</v>
      </c>
      <c r="H546"/>
      <c r="I546"/>
    </row>
    <row r="547" spans="1:9" x14ac:dyDescent="0.35">
      <c r="A547" s="71">
        <f t="shared" si="17"/>
        <v>87510.599999999977</v>
      </c>
      <c r="B547" s="72">
        <f t="shared" si="16"/>
        <v>-60</v>
      </c>
      <c r="C547" s="70">
        <v>546</v>
      </c>
      <c r="E547" s="66">
        <v>60</v>
      </c>
      <c r="F547" s="85">
        <v>45488</v>
      </c>
      <c r="G547" s="64" t="s">
        <v>113</v>
      </c>
      <c r="H547"/>
      <c r="I547"/>
    </row>
    <row r="548" spans="1:9" x14ac:dyDescent="0.35">
      <c r="A548" s="71">
        <f t="shared" si="17"/>
        <v>87450.599999999977</v>
      </c>
      <c r="B548" s="72">
        <f t="shared" si="16"/>
        <v>-60</v>
      </c>
      <c r="C548" s="70">
        <v>547</v>
      </c>
      <c r="E548" s="66">
        <v>60</v>
      </c>
      <c r="F548" s="85">
        <v>45488</v>
      </c>
      <c r="G548" s="64" t="s">
        <v>80</v>
      </c>
      <c r="H548"/>
      <c r="I548"/>
    </row>
    <row r="549" spans="1:9" x14ac:dyDescent="0.35">
      <c r="A549" s="71">
        <f t="shared" si="17"/>
        <v>87430.599999999977</v>
      </c>
      <c r="B549" s="72">
        <f t="shared" si="16"/>
        <v>-20</v>
      </c>
      <c r="C549" s="70">
        <v>548</v>
      </c>
      <c r="E549" s="66">
        <v>20</v>
      </c>
      <c r="F549" s="85">
        <v>45488</v>
      </c>
      <c r="G549" s="64" t="s">
        <v>325</v>
      </c>
      <c r="H549"/>
      <c r="I549"/>
    </row>
    <row r="550" spans="1:9" x14ac:dyDescent="0.35">
      <c r="A550" s="71">
        <f t="shared" si="17"/>
        <v>87455.599999999977</v>
      </c>
      <c r="B550" s="72">
        <f t="shared" si="16"/>
        <v>25</v>
      </c>
      <c r="C550" s="70">
        <v>549</v>
      </c>
      <c r="D550" s="65">
        <v>25</v>
      </c>
      <c r="F550" s="85">
        <v>45489</v>
      </c>
      <c r="G550" s="64" t="s">
        <v>326</v>
      </c>
      <c r="H550"/>
      <c r="I550"/>
    </row>
    <row r="551" spans="1:9" x14ac:dyDescent="0.35">
      <c r="A551" s="71">
        <f t="shared" si="17"/>
        <v>141490.59999999998</v>
      </c>
      <c r="B551" s="72">
        <f t="shared" si="16"/>
        <v>54035</v>
      </c>
      <c r="C551" s="70">
        <v>550</v>
      </c>
      <c r="D551" s="65">
        <v>54135</v>
      </c>
      <c r="E551" s="66">
        <v>100</v>
      </c>
      <c r="F551" s="85">
        <v>45489</v>
      </c>
      <c r="G551" s="64" t="s">
        <v>120</v>
      </c>
      <c r="H551"/>
      <c r="I551"/>
    </row>
    <row r="552" spans="1:9" x14ac:dyDescent="0.35">
      <c r="A552" s="71">
        <f t="shared" si="17"/>
        <v>158085.59999999998</v>
      </c>
      <c r="B552" s="72">
        <f t="shared" si="16"/>
        <v>16595</v>
      </c>
      <c r="C552" s="70">
        <v>551</v>
      </c>
      <c r="D552" s="65">
        <v>17735</v>
      </c>
      <c r="E552" s="66">
        <v>1140</v>
      </c>
      <c r="F552" s="85">
        <v>45490</v>
      </c>
      <c r="G552" s="64" t="s">
        <v>327</v>
      </c>
      <c r="H552"/>
      <c r="I552"/>
    </row>
    <row r="553" spans="1:9" x14ac:dyDescent="0.35">
      <c r="A553" s="71">
        <f t="shared" si="17"/>
        <v>157965.59999999998</v>
      </c>
      <c r="B553" s="72">
        <f t="shared" si="16"/>
        <v>-120</v>
      </c>
      <c r="C553" s="70">
        <v>552</v>
      </c>
      <c r="E553" s="66">
        <v>120</v>
      </c>
      <c r="F553" s="85">
        <v>45490</v>
      </c>
      <c r="G553" s="64" t="s">
        <v>328</v>
      </c>
      <c r="H553"/>
      <c r="I553"/>
    </row>
    <row r="554" spans="1:9" x14ac:dyDescent="0.35">
      <c r="A554" s="71">
        <f t="shared" si="17"/>
        <v>157805.59999999998</v>
      </c>
      <c r="B554" s="72">
        <f t="shared" si="16"/>
        <v>-160</v>
      </c>
      <c r="C554" s="70">
        <v>553</v>
      </c>
      <c r="E554" s="66">
        <v>160</v>
      </c>
      <c r="F554" s="85">
        <v>45490</v>
      </c>
      <c r="G554" s="64" t="s">
        <v>329</v>
      </c>
      <c r="H554"/>
      <c r="I554"/>
    </row>
    <row r="555" spans="1:9" x14ac:dyDescent="0.35">
      <c r="A555" s="71">
        <f t="shared" si="17"/>
        <v>146585.59999999998</v>
      </c>
      <c r="B555" s="72">
        <f t="shared" si="16"/>
        <v>-11220</v>
      </c>
      <c r="C555" s="70">
        <v>554</v>
      </c>
      <c r="E555" s="66">
        <v>11220</v>
      </c>
      <c r="F555" s="85">
        <v>45491</v>
      </c>
      <c r="G555" s="64" t="s">
        <v>330</v>
      </c>
      <c r="H555"/>
      <c r="I555"/>
    </row>
    <row r="556" spans="1:9" x14ac:dyDescent="0.35">
      <c r="A556" s="71">
        <f t="shared" si="17"/>
        <v>148335.59999999998</v>
      </c>
      <c r="B556" s="72">
        <f t="shared" si="16"/>
        <v>1750</v>
      </c>
      <c r="C556" s="70">
        <v>555</v>
      </c>
      <c r="D556" s="65">
        <v>1750</v>
      </c>
      <c r="F556" s="85">
        <v>45491</v>
      </c>
      <c r="G556" s="64" t="s">
        <v>12</v>
      </c>
      <c r="H556"/>
      <c r="I556"/>
    </row>
    <row r="557" spans="1:9" x14ac:dyDescent="0.35">
      <c r="A557" s="71">
        <f t="shared" si="17"/>
        <v>159490.59999999998</v>
      </c>
      <c r="B557" s="72">
        <f t="shared" si="16"/>
        <v>11155</v>
      </c>
      <c r="C557" s="70">
        <v>556</v>
      </c>
      <c r="D557" s="65">
        <v>11395</v>
      </c>
      <c r="E557" s="66">
        <v>240</v>
      </c>
      <c r="F557" s="85">
        <v>45493</v>
      </c>
      <c r="G557" s="64" t="s">
        <v>129</v>
      </c>
      <c r="H557"/>
      <c r="I557"/>
    </row>
    <row r="558" spans="1:9" x14ac:dyDescent="0.35">
      <c r="A558" s="71">
        <f t="shared" si="17"/>
        <v>159490.59999999998</v>
      </c>
      <c r="B558" s="72">
        <f t="shared" si="16"/>
        <v>0</v>
      </c>
      <c r="C558" s="70">
        <v>557</v>
      </c>
      <c r="D558" s="65">
        <v>1000</v>
      </c>
      <c r="E558" s="66">
        <v>1000</v>
      </c>
      <c r="F558" s="85">
        <v>45493</v>
      </c>
      <c r="G558" s="64" t="s">
        <v>352</v>
      </c>
      <c r="H558"/>
      <c r="I558"/>
    </row>
    <row r="559" spans="1:9" x14ac:dyDescent="0.35">
      <c r="A559" s="71">
        <f t="shared" si="17"/>
        <v>39490.599999999977</v>
      </c>
      <c r="B559" s="72">
        <f t="shared" si="16"/>
        <v>-120000</v>
      </c>
      <c r="C559" s="70">
        <v>558</v>
      </c>
      <c r="E559" s="66">
        <v>120000</v>
      </c>
      <c r="F559" s="85">
        <v>45493</v>
      </c>
      <c r="G559" s="64" t="s">
        <v>306</v>
      </c>
      <c r="H559"/>
      <c r="I559"/>
    </row>
    <row r="560" spans="1:9" x14ac:dyDescent="0.35">
      <c r="A560" s="71">
        <f t="shared" si="17"/>
        <v>39410.599999999977</v>
      </c>
      <c r="B560" s="72">
        <f t="shared" si="16"/>
        <v>-80</v>
      </c>
      <c r="C560" s="70">
        <v>559</v>
      </c>
      <c r="E560" s="66">
        <v>80</v>
      </c>
      <c r="F560" s="85">
        <v>45493</v>
      </c>
      <c r="G560" s="64" t="s">
        <v>99</v>
      </c>
      <c r="H560"/>
      <c r="I560"/>
    </row>
    <row r="561" spans="1:9" x14ac:dyDescent="0.35">
      <c r="A561" s="71">
        <f t="shared" si="17"/>
        <v>39390.599999999977</v>
      </c>
      <c r="B561" s="72">
        <f t="shared" si="16"/>
        <v>-20</v>
      </c>
      <c r="C561" s="70">
        <v>560</v>
      </c>
      <c r="E561" s="66">
        <v>20</v>
      </c>
      <c r="F561" s="85">
        <v>45493</v>
      </c>
      <c r="G561" s="64" t="s">
        <v>243</v>
      </c>
      <c r="H561"/>
      <c r="I561"/>
    </row>
    <row r="562" spans="1:9" x14ac:dyDescent="0.35">
      <c r="A562" s="71">
        <f t="shared" si="17"/>
        <v>37390.599999999977</v>
      </c>
      <c r="B562" s="72">
        <f t="shared" si="16"/>
        <v>-2000</v>
      </c>
      <c r="C562" s="70">
        <v>561</v>
      </c>
      <c r="E562" s="66">
        <v>2000</v>
      </c>
      <c r="F562" s="85">
        <v>45494</v>
      </c>
      <c r="G562" s="64" t="s">
        <v>331</v>
      </c>
      <c r="H562"/>
      <c r="I562"/>
    </row>
    <row r="563" spans="1:9" x14ac:dyDescent="0.35">
      <c r="A563" s="71">
        <f t="shared" si="17"/>
        <v>36790.599999999977</v>
      </c>
      <c r="B563" s="72">
        <f t="shared" si="16"/>
        <v>-600</v>
      </c>
      <c r="C563" s="70">
        <v>562</v>
      </c>
      <c r="E563" s="66">
        <v>600</v>
      </c>
      <c r="F563" s="85">
        <v>45494</v>
      </c>
      <c r="G563" s="64" t="s">
        <v>177</v>
      </c>
      <c r="H563"/>
      <c r="I563"/>
    </row>
    <row r="564" spans="1:9" x14ac:dyDescent="0.35">
      <c r="A564" s="71">
        <f t="shared" si="17"/>
        <v>84770.599999999977</v>
      </c>
      <c r="B564" s="72">
        <f t="shared" si="16"/>
        <v>47980</v>
      </c>
      <c r="C564" s="70">
        <v>563</v>
      </c>
      <c r="D564" s="65">
        <v>48040</v>
      </c>
      <c r="E564" s="66">
        <v>60</v>
      </c>
      <c r="F564" s="85">
        <v>45494</v>
      </c>
      <c r="G564" s="64" t="s">
        <v>127</v>
      </c>
      <c r="H564"/>
      <c r="I564"/>
    </row>
    <row r="565" spans="1:9" x14ac:dyDescent="0.35">
      <c r="A565" s="71">
        <f t="shared" si="17"/>
        <v>84770.599999999977</v>
      </c>
      <c r="B565" s="72">
        <f t="shared" si="16"/>
        <v>0</v>
      </c>
      <c r="C565" s="70">
        <v>564</v>
      </c>
      <c r="D565" s="65">
        <v>100</v>
      </c>
      <c r="E565" s="66">
        <v>100</v>
      </c>
      <c r="F565" s="85">
        <v>45494</v>
      </c>
      <c r="G565" s="64" t="s">
        <v>332</v>
      </c>
      <c r="H565"/>
      <c r="I565"/>
    </row>
    <row r="566" spans="1:9" x14ac:dyDescent="0.35">
      <c r="A566" s="71">
        <f t="shared" si="17"/>
        <v>84750.599999999977</v>
      </c>
      <c r="B566" s="72">
        <f t="shared" si="16"/>
        <v>-20</v>
      </c>
      <c r="C566" s="70">
        <v>565</v>
      </c>
      <c r="E566" s="66">
        <v>20</v>
      </c>
      <c r="F566" s="85">
        <v>45494</v>
      </c>
      <c r="G566" s="64" t="s">
        <v>296</v>
      </c>
      <c r="H566"/>
      <c r="I566"/>
    </row>
    <row r="567" spans="1:9" x14ac:dyDescent="0.35">
      <c r="A567" s="71">
        <f t="shared" si="17"/>
        <v>84675.599999999977</v>
      </c>
      <c r="B567" s="72">
        <f t="shared" si="16"/>
        <v>-75</v>
      </c>
      <c r="C567" s="70">
        <v>566</v>
      </c>
      <c r="E567" s="66">
        <v>75</v>
      </c>
      <c r="F567" s="85">
        <v>45494</v>
      </c>
      <c r="G567" s="64" t="s">
        <v>309</v>
      </c>
      <c r="H567"/>
      <c r="I567"/>
    </row>
    <row r="568" spans="1:9" x14ac:dyDescent="0.35">
      <c r="A568" s="71">
        <f t="shared" si="17"/>
        <v>82795.599999999977</v>
      </c>
      <c r="B568" s="72">
        <f t="shared" si="16"/>
        <v>-1880</v>
      </c>
      <c r="C568" s="70">
        <v>567</v>
      </c>
      <c r="E568" s="66">
        <v>1880</v>
      </c>
      <c r="F568" s="85">
        <v>45494</v>
      </c>
      <c r="G568" s="64" t="s">
        <v>333</v>
      </c>
      <c r="H568"/>
      <c r="I568"/>
    </row>
    <row r="569" spans="1:9" x14ac:dyDescent="0.35">
      <c r="A569" s="71">
        <f t="shared" si="17"/>
        <v>80775.599999999977</v>
      </c>
      <c r="B569" s="72">
        <f t="shared" si="16"/>
        <v>-2020</v>
      </c>
      <c r="C569" s="70">
        <v>568</v>
      </c>
      <c r="E569" s="66">
        <v>2020</v>
      </c>
      <c r="F569" s="85">
        <v>45495</v>
      </c>
      <c r="G569" s="64" t="s">
        <v>64</v>
      </c>
      <c r="H569"/>
      <c r="I569"/>
    </row>
    <row r="570" spans="1:9" x14ac:dyDescent="0.35">
      <c r="A570" s="71">
        <f t="shared" si="17"/>
        <v>95515.599999999977</v>
      </c>
      <c r="B570" s="72">
        <f t="shared" si="16"/>
        <v>14740</v>
      </c>
      <c r="C570" s="70">
        <v>569</v>
      </c>
      <c r="D570" s="65">
        <v>14810</v>
      </c>
      <c r="E570" s="66">
        <v>70</v>
      </c>
      <c r="F570" s="85">
        <v>45495</v>
      </c>
      <c r="G570" s="64" t="s">
        <v>335</v>
      </c>
      <c r="H570"/>
      <c r="I570"/>
    </row>
    <row r="571" spans="1:9" x14ac:dyDescent="0.35">
      <c r="A571" s="71">
        <f t="shared" si="17"/>
        <v>108740.59999999998</v>
      </c>
      <c r="B571" s="72">
        <f t="shared" si="16"/>
        <v>13225</v>
      </c>
      <c r="C571" s="70">
        <v>570</v>
      </c>
      <c r="D571" s="65">
        <v>13225</v>
      </c>
      <c r="F571" s="85">
        <v>45496</v>
      </c>
      <c r="G571" s="64" t="s">
        <v>12</v>
      </c>
      <c r="H571"/>
      <c r="I571"/>
    </row>
    <row r="572" spans="1:9" x14ac:dyDescent="0.35">
      <c r="A572" s="71">
        <f t="shared" si="17"/>
        <v>108740.59999999998</v>
      </c>
      <c r="B572" s="72">
        <f t="shared" si="16"/>
        <v>0</v>
      </c>
      <c r="C572" s="70">
        <v>571</v>
      </c>
      <c r="D572" s="65">
        <v>300</v>
      </c>
      <c r="E572" s="66">
        <v>300</v>
      </c>
      <c r="F572" s="85">
        <v>45496</v>
      </c>
      <c r="G572" s="64" t="s">
        <v>483</v>
      </c>
      <c r="H572"/>
      <c r="I572"/>
    </row>
    <row r="573" spans="1:9" x14ac:dyDescent="0.35">
      <c r="A573" s="71">
        <f t="shared" si="17"/>
        <v>106740.59999999998</v>
      </c>
      <c r="B573" s="72">
        <f t="shared" si="16"/>
        <v>-2000</v>
      </c>
      <c r="C573" s="70">
        <v>572</v>
      </c>
      <c r="E573" s="66">
        <v>2000</v>
      </c>
      <c r="F573" s="85">
        <v>45497</v>
      </c>
      <c r="G573" s="64" t="s">
        <v>338</v>
      </c>
      <c r="H573"/>
      <c r="I573"/>
    </row>
    <row r="574" spans="1:9" x14ac:dyDescent="0.35">
      <c r="A574" s="71">
        <f t="shared" si="17"/>
        <v>148570.59999999998</v>
      </c>
      <c r="B574" s="72">
        <f t="shared" si="16"/>
        <v>41830</v>
      </c>
      <c r="C574" s="70">
        <v>573</v>
      </c>
      <c r="D574" s="65">
        <v>41830</v>
      </c>
      <c r="F574" s="85">
        <v>45497</v>
      </c>
      <c r="G574" s="64" t="s">
        <v>12</v>
      </c>
      <c r="H574"/>
      <c r="I574"/>
    </row>
    <row r="575" spans="1:9" x14ac:dyDescent="0.35">
      <c r="A575" s="71">
        <f t="shared" si="17"/>
        <v>148120.59999999998</v>
      </c>
      <c r="B575" s="72">
        <f t="shared" si="16"/>
        <v>-450</v>
      </c>
      <c r="C575" s="70">
        <v>574</v>
      </c>
      <c r="E575" s="66">
        <v>450</v>
      </c>
      <c r="F575" s="85">
        <v>45497</v>
      </c>
      <c r="G575" s="64" t="s">
        <v>336</v>
      </c>
      <c r="H575"/>
      <c r="I575"/>
    </row>
    <row r="576" spans="1:9" x14ac:dyDescent="0.35">
      <c r="A576" s="71">
        <f t="shared" si="17"/>
        <v>148060.59999999998</v>
      </c>
      <c r="B576" s="72">
        <f t="shared" si="16"/>
        <v>-60</v>
      </c>
      <c r="C576" s="70">
        <v>575</v>
      </c>
      <c r="E576" s="66">
        <v>60</v>
      </c>
      <c r="F576" s="85">
        <v>45497</v>
      </c>
      <c r="G576" s="64" t="s">
        <v>337</v>
      </c>
      <c r="H576"/>
      <c r="I576"/>
    </row>
    <row r="577" spans="1:9" x14ac:dyDescent="0.35">
      <c r="A577" s="71">
        <f t="shared" si="17"/>
        <v>148060.59999999998</v>
      </c>
      <c r="B577" s="72">
        <f t="shared" si="16"/>
        <v>0</v>
      </c>
      <c r="C577" s="70">
        <v>576</v>
      </c>
      <c r="D577" s="65">
        <v>10000</v>
      </c>
      <c r="E577" s="66">
        <v>10000</v>
      </c>
      <c r="F577" s="85">
        <v>45498</v>
      </c>
      <c r="G577" s="64" t="s">
        <v>341</v>
      </c>
      <c r="H577"/>
      <c r="I577"/>
    </row>
    <row r="578" spans="1:9" x14ac:dyDescent="0.35">
      <c r="A578" s="71">
        <f t="shared" si="17"/>
        <v>149790.59999999998</v>
      </c>
      <c r="B578" s="72">
        <f t="shared" si="16"/>
        <v>1730</v>
      </c>
      <c r="C578" s="70">
        <v>577</v>
      </c>
      <c r="D578" s="65">
        <v>1790</v>
      </c>
      <c r="E578" s="66">
        <v>60</v>
      </c>
      <c r="F578" s="85">
        <v>45498</v>
      </c>
      <c r="G578" s="64" t="s">
        <v>339</v>
      </c>
      <c r="H578"/>
      <c r="I578"/>
    </row>
    <row r="579" spans="1:9" x14ac:dyDescent="0.35">
      <c r="A579" s="71">
        <f t="shared" si="17"/>
        <v>149730.59999999998</v>
      </c>
      <c r="B579" s="72">
        <f t="shared" ref="B579:B642" si="18">SUM(D579-E579)</f>
        <v>-60</v>
      </c>
      <c r="C579" s="70">
        <v>578</v>
      </c>
      <c r="E579" s="66">
        <v>60</v>
      </c>
      <c r="F579" s="85">
        <v>45498</v>
      </c>
      <c r="G579" s="64" t="s">
        <v>340</v>
      </c>
      <c r="H579"/>
      <c r="I579"/>
    </row>
    <row r="580" spans="1:9" x14ac:dyDescent="0.35">
      <c r="A580" s="71">
        <f t="shared" ref="A580:A643" si="19">SUM(A579+B580)</f>
        <v>148930.59999999998</v>
      </c>
      <c r="B580" s="72">
        <f t="shared" si="18"/>
        <v>-800</v>
      </c>
      <c r="C580" s="70">
        <v>579</v>
      </c>
      <c r="E580" s="66">
        <v>800</v>
      </c>
      <c r="F580" s="85">
        <v>45500</v>
      </c>
      <c r="G580" s="64" t="s">
        <v>342</v>
      </c>
      <c r="H580"/>
      <c r="I580"/>
    </row>
    <row r="581" spans="1:9" x14ac:dyDescent="0.35">
      <c r="A581" s="71">
        <f t="shared" si="19"/>
        <v>155850.59999999998</v>
      </c>
      <c r="B581" s="72">
        <f t="shared" si="18"/>
        <v>6920</v>
      </c>
      <c r="C581" s="70">
        <v>580</v>
      </c>
      <c r="D581" s="65">
        <v>7240</v>
      </c>
      <c r="E581" s="66">
        <v>320</v>
      </c>
      <c r="F581" s="85">
        <v>45500</v>
      </c>
      <c r="G581" s="64" t="s">
        <v>75</v>
      </c>
      <c r="H581"/>
      <c r="I581"/>
    </row>
    <row r="582" spans="1:9" x14ac:dyDescent="0.35">
      <c r="A582" s="71">
        <f t="shared" si="19"/>
        <v>155800.59999999998</v>
      </c>
      <c r="B582" s="72">
        <f t="shared" si="18"/>
        <v>-50</v>
      </c>
      <c r="C582" s="70">
        <v>581</v>
      </c>
      <c r="E582" s="66">
        <v>50</v>
      </c>
      <c r="F582" s="85">
        <v>45500</v>
      </c>
      <c r="G582" s="64" t="s">
        <v>334</v>
      </c>
      <c r="H582"/>
      <c r="I582"/>
    </row>
    <row r="583" spans="1:9" x14ac:dyDescent="0.35">
      <c r="A583" s="71">
        <f t="shared" si="19"/>
        <v>155733.59999999998</v>
      </c>
      <c r="B583" s="72">
        <f t="shared" si="18"/>
        <v>-67</v>
      </c>
      <c r="C583" s="70">
        <v>582</v>
      </c>
      <c r="E583" s="66">
        <v>67</v>
      </c>
      <c r="F583" s="85">
        <v>45500</v>
      </c>
      <c r="G583" s="64" t="s">
        <v>343</v>
      </c>
      <c r="H583"/>
      <c r="I583"/>
    </row>
    <row r="584" spans="1:9" x14ac:dyDescent="0.35">
      <c r="A584" s="71">
        <f t="shared" si="19"/>
        <v>155673.59999999998</v>
      </c>
      <c r="B584" s="72">
        <f t="shared" si="18"/>
        <v>-60</v>
      </c>
      <c r="C584" s="70">
        <v>583</v>
      </c>
      <c r="E584" s="66">
        <v>60</v>
      </c>
      <c r="F584" s="85">
        <v>45500</v>
      </c>
      <c r="G584" s="64" t="s">
        <v>136</v>
      </c>
      <c r="H584"/>
      <c r="I584"/>
    </row>
    <row r="585" spans="1:9" x14ac:dyDescent="0.35">
      <c r="A585" s="71">
        <f t="shared" si="19"/>
        <v>155493.59999999998</v>
      </c>
      <c r="B585" s="72">
        <f t="shared" si="18"/>
        <v>-180</v>
      </c>
      <c r="C585" s="70">
        <v>584</v>
      </c>
      <c r="E585" s="66">
        <v>180</v>
      </c>
      <c r="F585" s="85">
        <v>45501</v>
      </c>
      <c r="G585" s="64" t="s">
        <v>50</v>
      </c>
      <c r="H585"/>
      <c r="I585"/>
    </row>
    <row r="586" spans="1:9" x14ac:dyDescent="0.35">
      <c r="A586" s="71">
        <f t="shared" si="19"/>
        <v>155433.59999999998</v>
      </c>
      <c r="B586" s="72">
        <f t="shared" si="18"/>
        <v>-60</v>
      </c>
      <c r="C586" s="70">
        <v>585</v>
      </c>
      <c r="E586" s="66">
        <v>60</v>
      </c>
      <c r="F586" s="85">
        <v>45501</v>
      </c>
      <c r="G586" s="64" t="s">
        <v>347</v>
      </c>
      <c r="H586"/>
      <c r="I586"/>
    </row>
    <row r="587" spans="1:9" x14ac:dyDescent="0.35">
      <c r="A587" s="71">
        <f t="shared" si="19"/>
        <v>154153.59999999998</v>
      </c>
      <c r="B587" s="72">
        <f t="shared" si="18"/>
        <v>-1280</v>
      </c>
      <c r="C587" s="70">
        <v>586</v>
      </c>
      <c r="E587" s="66">
        <v>1280</v>
      </c>
      <c r="F587" s="85">
        <v>45501</v>
      </c>
      <c r="G587" s="64" t="s">
        <v>360</v>
      </c>
      <c r="H587"/>
      <c r="I587"/>
    </row>
    <row r="588" spans="1:9" x14ac:dyDescent="0.35">
      <c r="A588" s="71">
        <f t="shared" si="19"/>
        <v>152153.59999999998</v>
      </c>
      <c r="B588" s="72">
        <f t="shared" si="18"/>
        <v>-2000</v>
      </c>
      <c r="C588" s="70">
        <v>587</v>
      </c>
      <c r="E588" s="66">
        <v>2000</v>
      </c>
      <c r="F588" s="85">
        <v>45501</v>
      </c>
      <c r="G588" s="64" t="s">
        <v>177</v>
      </c>
      <c r="H588"/>
      <c r="I588"/>
    </row>
    <row r="589" spans="1:9" x14ac:dyDescent="0.35">
      <c r="A589" s="71">
        <f t="shared" si="19"/>
        <v>191563.59999999998</v>
      </c>
      <c r="B589" s="72">
        <f t="shared" si="18"/>
        <v>39410</v>
      </c>
      <c r="C589" s="70">
        <v>588</v>
      </c>
      <c r="D589" s="65">
        <v>39730</v>
      </c>
      <c r="E589" s="66">
        <v>320</v>
      </c>
      <c r="F589" s="85">
        <v>45501</v>
      </c>
      <c r="G589" s="64" t="s">
        <v>75</v>
      </c>
      <c r="H589"/>
      <c r="I589"/>
    </row>
    <row r="590" spans="1:9" x14ac:dyDescent="0.35">
      <c r="A590" s="71">
        <f t="shared" si="19"/>
        <v>191503.59999999998</v>
      </c>
      <c r="B590" s="72">
        <f t="shared" si="18"/>
        <v>-60</v>
      </c>
      <c r="C590" s="70">
        <v>589</v>
      </c>
      <c r="E590" s="66">
        <v>60</v>
      </c>
      <c r="F590" s="85">
        <v>45501</v>
      </c>
      <c r="G590" s="64" t="s">
        <v>140</v>
      </c>
      <c r="H590"/>
      <c r="I590"/>
    </row>
    <row r="591" spans="1:9" x14ac:dyDescent="0.35">
      <c r="A591" s="71">
        <f t="shared" si="19"/>
        <v>190853.59999999998</v>
      </c>
      <c r="B591" s="72">
        <f t="shared" si="18"/>
        <v>-650</v>
      </c>
      <c r="C591" s="70">
        <v>590</v>
      </c>
      <c r="E591" s="66">
        <v>650</v>
      </c>
      <c r="F591" s="85">
        <v>45501</v>
      </c>
      <c r="G591" s="64" t="s">
        <v>345</v>
      </c>
      <c r="H591"/>
      <c r="I591"/>
    </row>
    <row r="592" spans="1:9" x14ac:dyDescent="0.35">
      <c r="A592" s="71">
        <f t="shared" si="19"/>
        <v>193343.59999999998</v>
      </c>
      <c r="B592" s="72">
        <f t="shared" si="18"/>
        <v>2490</v>
      </c>
      <c r="C592" s="70">
        <v>591</v>
      </c>
      <c r="D592" s="65">
        <v>2550</v>
      </c>
      <c r="E592" s="66">
        <v>60</v>
      </c>
      <c r="F592" s="85">
        <v>45502</v>
      </c>
      <c r="G592" s="64" t="s">
        <v>211</v>
      </c>
      <c r="H592"/>
      <c r="I592"/>
    </row>
    <row r="593" spans="1:9" x14ac:dyDescent="0.35">
      <c r="A593" s="71">
        <f t="shared" si="19"/>
        <v>193283.59999999998</v>
      </c>
      <c r="B593" s="72">
        <f t="shared" si="18"/>
        <v>-60</v>
      </c>
      <c r="C593" s="70">
        <v>592</v>
      </c>
      <c r="E593" s="66">
        <v>60</v>
      </c>
      <c r="F593" s="85">
        <v>45501</v>
      </c>
      <c r="G593" s="64" t="s">
        <v>142</v>
      </c>
      <c r="H593"/>
      <c r="I593"/>
    </row>
    <row r="594" spans="1:9" x14ac:dyDescent="0.35">
      <c r="A594" s="71">
        <f t="shared" si="19"/>
        <v>193163.59999999998</v>
      </c>
      <c r="B594" s="72">
        <f t="shared" si="18"/>
        <v>-120</v>
      </c>
      <c r="C594" s="70">
        <v>593</v>
      </c>
      <c r="E594" s="66">
        <v>120</v>
      </c>
      <c r="F594" s="85">
        <v>45501</v>
      </c>
      <c r="G594" s="64" t="s">
        <v>344</v>
      </c>
      <c r="H594"/>
      <c r="I594"/>
    </row>
    <row r="595" spans="1:9" x14ac:dyDescent="0.35">
      <c r="A595" s="71">
        <f t="shared" si="19"/>
        <v>193063.59999999998</v>
      </c>
      <c r="B595" s="72">
        <f t="shared" si="18"/>
        <v>-100</v>
      </c>
      <c r="C595" s="70">
        <v>594</v>
      </c>
      <c r="E595" s="66">
        <v>100</v>
      </c>
      <c r="F595" s="85">
        <v>45503</v>
      </c>
      <c r="G595" s="64" t="s">
        <v>332</v>
      </c>
      <c r="H595"/>
      <c r="I595"/>
    </row>
    <row r="596" spans="1:9" x14ac:dyDescent="0.35">
      <c r="A596" s="71">
        <f t="shared" si="19"/>
        <v>193101.59999999998</v>
      </c>
      <c r="B596" s="72">
        <f t="shared" si="18"/>
        <v>38</v>
      </c>
      <c r="C596" s="70">
        <v>595</v>
      </c>
      <c r="D596" s="65">
        <v>38</v>
      </c>
      <c r="F596" s="85">
        <v>45503</v>
      </c>
      <c r="G596" s="64" t="s">
        <v>346</v>
      </c>
      <c r="H596"/>
      <c r="I596"/>
    </row>
    <row r="597" spans="1:9" x14ac:dyDescent="0.35">
      <c r="A597" s="71">
        <f t="shared" si="19"/>
        <v>202951.59999999998</v>
      </c>
      <c r="B597" s="72">
        <f t="shared" si="18"/>
        <v>9850</v>
      </c>
      <c r="C597" s="70">
        <v>596</v>
      </c>
      <c r="D597" s="65">
        <v>9900</v>
      </c>
      <c r="E597" s="66">
        <v>50</v>
      </c>
      <c r="F597" s="85">
        <v>45503</v>
      </c>
      <c r="G597" s="64" t="s">
        <v>149</v>
      </c>
      <c r="H597"/>
      <c r="I597"/>
    </row>
    <row r="598" spans="1:9" x14ac:dyDescent="0.35">
      <c r="A598" s="71">
        <f t="shared" si="19"/>
        <v>202951.59999999998</v>
      </c>
      <c r="B598" s="72">
        <f t="shared" si="18"/>
        <v>0</v>
      </c>
      <c r="C598" s="70">
        <v>597</v>
      </c>
      <c r="D598" s="65">
        <v>2000</v>
      </c>
      <c r="E598" s="66">
        <v>2000</v>
      </c>
      <c r="F598" s="85">
        <v>45503</v>
      </c>
      <c r="G598" s="64" t="s">
        <v>409</v>
      </c>
      <c r="H598"/>
      <c r="I598"/>
    </row>
    <row r="599" spans="1:9" x14ac:dyDescent="0.35">
      <c r="A599" s="71">
        <f t="shared" si="19"/>
        <v>187351.59999999998</v>
      </c>
      <c r="B599" s="72">
        <f t="shared" si="18"/>
        <v>-15600</v>
      </c>
      <c r="C599" s="70">
        <v>598</v>
      </c>
      <c r="E599" s="66">
        <v>15600</v>
      </c>
      <c r="F599" s="85">
        <v>45503</v>
      </c>
      <c r="G599" s="64" t="s">
        <v>349</v>
      </c>
      <c r="H599"/>
      <c r="I599"/>
    </row>
    <row r="600" spans="1:9" x14ac:dyDescent="0.35">
      <c r="A600" s="71">
        <f t="shared" si="19"/>
        <v>187286.59999999998</v>
      </c>
      <c r="B600" s="72">
        <f t="shared" si="18"/>
        <v>-65</v>
      </c>
      <c r="C600" s="70">
        <v>599</v>
      </c>
      <c r="E600" s="66">
        <v>65</v>
      </c>
      <c r="F600" s="85">
        <v>45503</v>
      </c>
      <c r="G600" s="64" t="s">
        <v>36</v>
      </c>
      <c r="H600"/>
      <c r="I600"/>
    </row>
    <row r="601" spans="1:9" x14ac:dyDescent="0.35">
      <c r="A601" s="71">
        <f t="shared" si="19"/>
        <v>187066.59999999998</v>
      </c>
      <c r="B601" s="72">
        <f t="shared" si="18"/>
        <v>-220</v>
      </c>
      <c r="C601" s="70">
        <v>600</v>
      </c>
      <c r="E601" s="66">
        <v>220</v>
      </c>
      <c r="F601" s="85">
        <v>45503</v>
      </c>
      <c r="G601" s="64" t="s">
        <v>348</v>
      </c>
      <c r="H601"/>
      <c r="I601"/>
    </row>
    <row r="602" spans="1:9" x14ac:dyDescent="0.35">
      <c r="A602" s="71">
        <f t="shared" si="19"/>
        <v>202881.59999999998</v>
      </c>
      <c r="B602" s="72">
        <f t="shared" si="18"/>
        <v>15815</v>
      </c>
      <c r="C602" s="70">
        <v>601</v>
      </c>
      <c r="D602" s="65">
        <v>15815</v>
      </c>
      <c r="F602" s="85">
        <v>45504</v>
      </c>
      <c r="H602"/>
      <c r="I602"/>
    </row>
    <row r="603" spans="1:9" x14ac:dyDescent="0.35">
      <c r="A603" s="71">
        <f t="shared" si="19"/>
        <v>205121.59999999998</v>
      </c>
      <c r="B603" s="72">
        <f t="shared" si="18"/>
        <v>2240</v>
      </c>
      <c r="C603" s="70">
        <v>602</v>
      </c>
      <c r="D603" s="65">
        <v>2300</v>
      </c>
      <c r="E603" s="66">
        <v>60</v>
      </c>
      <c r="F603" s="85">
        <v>45505</v>
      </c>
      <c r="G603" s="64" t="s">
        <v>30</v>
      </c>
      <c r="H603"/>
      <c r="I603"/>
    </row>
    <row r="604" spans="1:9" x14ac:dyDescent="0.35">
      <c r="A604" s="71">
        <f t="shared" si="19"/>
        <v>203121.59999999998</v>
      </c>
      <c r="B604" s="72">
        <f t="shared" si="18"/>
        <v>-2000</v>
      </c>
      <c r="C604" s="70">
        <v>603</v>
      </c>
      <c r="E604" s="66">
        <v>2000</v>
      </c>
      <c r="F604" s="85">
        <v>45505</v>
      </c>
      <c r="G604" s="64" t="s">
        <v>350</v>
      </c>
      <c r="H604"/>
      <c r="I604"/>
    </row>
    <row r="605" spans="1:9" x14ac:dyDescent="0.35">
      <c r="A605" s="71">
        <f t="shared" si="19"/>
        <v>202921.59999999998</v>
      </c>
      <c r="B605" s="72">
        <f t="shared" si="18"/>
        <v>-200</v>
      </c>
      <c r="C605" s="70">
        <v>604</v>
      </c>
      <c r="E605" s="66">
        <v>200</v>
      </c>
      <c r="F605" s="85">
        <v>45505</v>
      </c>
      <c r="G605" s="64" t="s">
        <v>351</v>
      </c>
      <c r="H605"/>
      <c r="I605"/>
    </row>
    <row r="606" spans="1:9" x14ac:dyDescent="0.35">
      <c r="A606" s="71">
        <f t="shared" si="19"/>
        <v>202884.59999999998</v>
      </c>
      <c r="B606" s="72">
        <f t="shared" si="18"/>
        <v>-37</v>
      </c>
      <c r="C606" s="70">
        <v>605</v>
      </c>
      <c r="E606" s="66">
        <v>37</v>
      </c>
      <c r="F606" s="85">
        <v>45505</v>
      </c>
      <c r="G606" s="64" t="s">
        <v>99</v>
      </c>
      <c r="H606"/>
      <c r="I606"/>
    </row>
    <row r="607" spans="1:9" x14ac:dyDescent="0.35">
      <c r="A607" s="71">
        <f t="shared" si="19"/>
        <v>141278.59999999998</v>
      </c>
      <c r="B607" s="72">
        <f t="shared" si="18"/>
        <v>-61606</v>
      </c>
      <c r="C607" s="70">
        <v>606</v>
      </c>
      <c r="E607" s="66">
        <v>61606</v>
      </c>
      <c r="F607" s="85">
        <v>45507</v>
      </c>
      <c r="G607" s="64" t="s">
        <v>298</v>
      </c>
      <c r="H607"/>
      <c r="I607"/>
    </row>
    <row r="608" spans="1:9" x14ac:dyDescent="0.35">
      <c r="A608" s="71">
        <f t="shared" si="19"/>
        <v>131278.59999999998</v>
      </c>
      <c r="B608" s="72">
        <f t="shared" si="18"/>
        <v>-10000</v>
      </c>
      <c r="C608" s="70">
        <v>607</v>
      </c>
      <c r="E608" s="66">
        <v>10000</v>
      </c>
      <c r="F608" s="85">
        <v>45507</v>
      </c>
      <c r="G608" s="64" t="s">
        <v>353</v>
      </c>
      <c r="H608"/>
      <c r="I608"/>
    </row>
    <row r="609" spans="1:9" x14ac:dyDescent="0.35">
      <c r="A609" s="71">
        <f t="shared" si="19"/>
        <v>131478.59999999998</v>
      </c>
      <c r="B609" s="72">
        <f t="shared" si="18"/>
        <v>200</v>
      </c>
      <c r="C609" s="70">
        <v>608</v>
      </c>
      <c r="D609" s="65">
        <v>200</v>
      </c>
      <c r="F609" s="85">
        <v>45507</v>
      </c>
      <c r="G609" s="64" t="s">
        <v>354</v>
      </c>
      <c r="H609"/>
      <c r="I609"/>
    </row>
    <row r="610" spans="1:9" x14ac:dyDescent="0.35">
      <c r="A610" s="71">
        <f t="shared" si="19"/>
        <v>130478.59999999998</v>
      </c>
      <c r="B610" s="72">
        <f t="shared" si="18"/>
        <v>-1000</v>
      </c>
      <c r="C610" s="70">
        <v>609</v>
      </c>
      <c r="E610" s="66">
        <v>1000</v>
      </c>
      <c r="F610" s="85">
        <v>45507</v>
      </c>
      <c r="G610" s="64" t="s">
        <v>24</v>
      </c>
      <c r="H610"/>
      <c r="I610"/>
    </row>
    <row r="611" spans="1:9" x14ac:dyDescent="0.35">
      <c r="A611" s="71">
        <f t="shared" si="19"/>
        <v>138008.59999999998</v>
      </c>
      <c r="B611" s="72">
        <f t="shared" si="18"/>
        <v>7530</v>
      </c>
      <c r="C611" s="70">
        <v>610</v>
      </c>
      <c r="D611" s="65">
        <v>7590</v>
      </c>
      <c r="E611" s="66">
        <v>60</v>
      </c>
      <c r="F611" s="85">
        <v>45507</v>
      </c>
      <c r="G611" s="64" t="s">
        <v>182</v>
      </c>
      <c r="H611"/>
      <c r="I611"/>
    </row>
    <row r="612" spans="1:9" x14ac:dyDescent="0.35">
      <c r="A612" s="71">
        <f t="shared" si="19"/>
        <v>113808.59999999998</v>
      </c>
      <c r="B612" s="72">
        <f t="shared" si="18"/>
        <v>-24200</v>
      </c>
      <c r="C612" s="70">
        <v>611</v>
      </c>
      <c r="E612" s="66">
        <v>24200</v>
      </c>
      <c r="F612" s="85">
        <v>45508</v>
      </c>
      <c r="G612" s="64" t="s">
        <v>15</v>
      </c>
      <c r="H612"/>
      <c r="I612"/>
    </row>
    <row r="613" spans="1:9" x14ac:dyDescent="0.35">
      <c r="A613" s="71">
        <f t="shared" si="19"/>
        <v>139038.59999999998</v>
      </c>
      <c r="B613" s="72">
        <f t="shared" si="18"/>
        <v>25230</v>
      </c>
      <c r="C613" s="70">
        <v>612</v>
      </c>
      <c r="D613" s="65">
        <v>25430</v>
      </c>
      <c r="E613" s="66">
        <v>200</v>
      </c>
      <c r="F613" s="85">
        <v>45508</v>
      </c>
      <c r="G613" s="64" t="s">
        <v>141</v>
      </c>
      <c r="H613"/>
      <c r="I613"/>
    </row>
    <row r="614" spans="1:9" x14ac:dyDescent="0.35">
      <c r="A614" s="71">
        <f t="shared" si="19"/>
        <v>121538.59999999998</v>
      </c>
      <c r="B614" s="72">
        <f t="shared" si="18"/>
        <v>-17500</v>
      </c>
      <c r="C614" s="70">
        <v>613</v>
      </c>
      <c r="E614" s="66">
        <v>17500</v>
      </c>
      <c r="F614" s="85">
        <v>45509</v>
      </c>
      <c r="G614" s="64" t="s">
        <v>17</v>
      </c>
      <c r="H614"/>
      <c r="I614"/>
    </row>
    <row r="615" spans="1:9" x14ac:dyDescent="0.35">
      <c r="A615" s="71">
        <f t="shared" si="19"/>
        <v>120953.59999999998</v>
      </c>
      <c r="B615" s="72">
        <f t="shared" si="18"/>
        <v>-585</v>
      </c>
      <c r="C615" s="70">
        <v>614</v>
      </c>
      <c r="E615" s="66">
        <v>585</v>
      </c>
      <c r="F615" s="85">
        <v>45509</v>
      </c>
      <c r="G615" s="64" t="s">
        <v>355</v>
      </c>
      <c r="H615"/>
      <c r="I615"/>
    </row>
    <row r="616" spans="1:9" x14ac:dyDescent="0.35">
      <c r="A616" s="71">
        <f t="shared" si="19"/>
        <v>118453.59999999998</v>
      </c>
      <c r="B616" s="72">
        <f t="shared" si="18"/>
        <v>-2500</v>
      </c>
      <c r="C616" s="70">
        <v>615</v>
      </c>
      <c r="E616" s="66">
        <v>2500</v>
      </c>
      <c r="F616" s="85">
        <v>45509</v>
      </c>
      <c r="G616" s="64" t="s">
        <v>64</v>
      </c>
      <c r="H616"/>
      <c r="I616"/>
    </row>
    <row r="617" spans="1:9" x14ac:dyDescent="0.35">
      <c r="A617" s="71">
        <f t="shared" si="19"/>
        <v>98753.599999999977</v>
      </c>
      <c r="B617" s="72">
        <f t="shared" si="18"/>
        <v>-19700</v>
      </c>
      <c r="C617" s="70">
        <v>616</v>
      </c>
      <c r="E617" s="66">
        <v>19700</v>
      </c>
      <c r="F617" s="85">
        <v>45509</v>
      </c>
      <c r="G617" s="64" t="s">
        <v>356</v>
      </c>
      <c r="H617"/>
      <c r="I617"/>
    </row>
    <row r="618" spans="1:9" x14ac:dyDescent="0.35">
      <c r="A618" s="71">
        <f t="shared" si="19"/>
        <v>103733.59999999998</v>
      </c>
      <c r="B618" s="72">
        <f t="shared" si="18"/>
        <v>4980</v>
      </c>
      <c r="C618" s="70">
        <v>617</v>
      </c>
      <c r="D618" s="65">
        <v>4980</v>
      </c>
      <c r="F618" s="85">
        <v>45509</v>
      </c>
      <c r="G618" s="64" t="s">
        <v>357</v>
      </c>
      <c r="H618"/>
      <c r="I618"/>
    </row>
    <row r="619" spans="1:9" x14ac:dyDescent="0.35">
      <c r="A619" s="71">
        <f t="shared" si="19"/>
        <v>102633.59999999998</v>
      </c>
      <c r="B619" s="72">
        <f t="shared" si="18"/>
        <v>-1100</v>
      </c>
      <c r="C619" s="70">
        <v>618</v>
      </c>
      <c r="E619" s="66">
        <v>1100</v>
      </c>
      <c r="F619" s="85">
        <v>45510</v>
      </c>
      <c r="G619" s="64" t="s">
        <v>358</v>
      </c>
      <c r="H619"/>
      <c r="I619"/>
    </row>
    <row r="620" spans="1:9" x14ac:dyDescent="0.35">
      <c r="A620" s="71">
        <f t="shared" si="19"/>
        <v>136660.59999999998</v>
      </c>
      <c r="B620" s="72">
        <f t="shared" si="18"/>
        <v>34027</v>
      </c>
      <c r="C620" s="70">
        <v>619</v>
      </c>
      <c r="D620" s="65">
        <v>34027</v>
      </c>
      <c r="F620" s="85">
        <v>45510</v>
      </c>
      <c r="G620" s="64" t="s">
        <v>12</v>
      </c>
      <c r="H620"/>
      <c r="I620"/>
    </row>
    <row r="621" spans="1:9" x14ac:dyDescent="0.35">
      <c r="A621" s="71">
        <f t="shared" si="19"/>
        <v>136060.59999999998</v>
      </c>
      <c r="B621" s="72">
        <f t="shared" si="18"/>
        <v>-600</v>
      </c>
      <c r="C621" s="70">
        <v>620</v>
      </c>
      <c r="E621" s="66">
        <v>600</v>
      </c>
      <c r="F621" s="85">
        <v>45510</v>
      </c>
      <c r="G621" s="64" t="s">
        <v>359</v>
      </c>
      <c r="H621"/>
      <c r="I621"/>
    </row>
    <row r="622" spans="1:9" x14ac:dyDescent="0.35">
      <c r="A622" s="71">
        <f t="shared" si="19"/>
        <v>127060.59999999998</v>
      </c>
      <c r="B622" s="72">
        <f t="shared" si="18"/>
        <v>-9000</v>
      </c>
      <c r="C622" s="70">
        <v>621</v>
      </c>
      <c r="E622" s="66">
        <v>9000</v>
      </c>
      <c r="F622" s="85">
        <v>45510</v>
      </c>
      <c r="G622" s="64" t="s">
        <v>367</v>
      </c>
      <c r="H622"/>
      <c r="I622"/>
    </row>
    <row r="623" spans="1:9" x14ac:dyDescent="0.35">
      <c r="A623" s="71">
        <f t="shared" si="19"/>
        <v>126660.59999999998</v>
      </c>
      <c r="B623" s="72">
        <f t="shared" si="18"/>
        <v>-400</v>
      </c>
      <c r="C623" s="70">
        <v>622</v>
      </c>
      <c r="E623" s="66">
        <v>400</v>
      </c>
      <c r="F623" s="85">
        <v>45510</v>
      </c>
      <c r="G623" s="64" t="s">
        <v>361</v>
      </c>
      <c r="H623"/>
      <c r="I623"/>
    </row>
    <row r="624" spans="1:9" x14ac:dyDescent="0.35">
      <c r="A624" s="71">
        <f t="shared" si="19"/>
        <v>126623.59999999998</v>
      </c>
      <c r="B624" s="72">
        <f t="shared" si="18"/>
        <v>-37</v>
      </c>
      <c r="C624" s="70">
        <v>623</v>
      </c>
      <c r="E624" s="66">
        <v>37</v>
      </c>
      <c r="F624" s="85">
        <v>45510</v>
      </c>
      <c r="G624" s="64" t="s">
        <v>99</v>
      </c>
      <c r="H624"/>
      <c r="I624"/>
    </row>
    <row r="625" spans="1:9" x14ac:dyDescent="0.35">
      <c r="A625" s="71">
        <f t="shared" si="19"/>
        <v>126596.59999999998</v>
      </c>
      <c r="B625" s="72">
        <f t="shared" si="18"/>
        <v>-27</v>
      </c>
      <c r="C625" s="70">
        <v>624</v>
      </c>
      <c r="E625" s="66">
        <v>27</v>
      </c>
      <c r="F625" s="85">
        <v>45510</v>
      </c>
      <c r="G625" s="64" t="s">
        <v>362</v>
      </c>
      <c r="H625"/>
      <c r="I625"/>
    </row>
    <row r="626" spans="1:9" x14ac:dyDescent="0.35">
      <c r="A626" s="71">
        <f t="shared" si="19"/>
        <v>126196.59999999998</v>
      </c>
      <c r="B626" s="72">
        <f t="shared" si="18"/>
        <v>-400</v>
      </c>
      <c r="C626" s="70">
        <v>625</v>
      </c>
      <c r="E626" s="66">
        <v>400</v>
      </c>
      <c r="F626" s="85">
        <v>45510</v>
      </c>
      <c r="G626" s="64" t="s">
        <v>363</v>
      </c>
      <c r="H626"/>
      <c r="I626"/>
    </row>
    <row r="627" spans="1:9" x14ac:dyDescent="0.35">
      <c r="A627" s="71">
        <f t="shared" si="19"/>
        <v>132706.59999999998</v>
      </c>
      <c r="B627" s="72">
        <f t="shared" si="18"/>
        <v>6510</v>
      </c>
      <c r="C627" s="70">
        <v>626</v>
      </c>
      <c r="D627" s="65">
        <v>6510</v>
      </c>
      <c r="F627" s="85">
        <v>45511</v>
      </c>
      <c r="H627"/>
      <c r="I627"/>
    </row>
    <row r="628" spans="1:9" x14ac:dyDescent="0.35">
      <c r="A628" s="71">
        <f t="shared" si="19"/>
        <v>127206.59999999998</v>
      </c>
      <c r="B628" s="72">
        <f t="shared" si="18"/>
        <v>-5500</v>
      </c>
      <c r="C628" s="70">
        <v>627</v>
      </c>
      <c r="E628" s="66">
        <v>5500</v>
      </c>
      <c r="F628" s="85">
        <v>45511</v>
      </c>
      <c r="G628" s="64" t="s">
        <v>364</v>
      </c>
      <c r="H628"/>
      <c r="I628"/>
    </row>
    <row r="629" spans="1:9" x14ac:dyDescent="0.35">
      <c r="A629" s="71">
        <f t="shared" si="19"/>
        <v>129451.59999999998</v>
      </c>
      <c r="B629" s="72">
        <f t="shared" si="18"/>
        <v>2245</v>
      </c>
      <c r="C629" s="70">
        <v>628</v>
      </c>
      <c r="D629" s="65">
        <v>2300</v>
      </c>
      <c r="E629" s="66">
        <v>55</v>
      </c>
      <c r="F629" s="85">
        <v>45512</v>
      </c>
      <c r="G629" s="64" t="s">
        <v>36</v>
      </c>
      <c r="H629"/>
      <c r="I629"/>
    </row>
    <row r="630" spans="1:9" x14ac:dyDescent="0.35">
      <c r="A630" s="71">
        <f t="shared" si="19"/>
        <v>129391.59999999998</v>
      </c>
      <c r="B630" s="72">
        <f t="shared" si="18"/>
        <v>-60</v>
      </c>
      <c r="C630" s="70">
        <v>629</v>
      </c>
      <c r="E630" s="66">
        <v>60</v>
      </c>
      <c r="F630" s="85">
        <v>45512</v>
      </c>
      <c r="G630" s="64" t="s">
        <v>25</v>
      </c>
      <c r="H630"/>
      <c r="I630"/>
    </row>
    <row r="631" spans="1:9" x14ac:dyDescent="0.35">
      <c r="A631" s="71">
        <f t="shared" si="19"/>
        <v>87737.599999999977</v>
      </c>
      <c r="B631" s="72">
        <f t="shared" si="18"/>
        <v>-41654</v>
      </c>
      <c r="C631" s="70">
        <v>630</v>
      </c>
      <c r="E631" s="66">
        <v>41654</v>
      </c>
      <c r="F631" s="85">
        <v>45514</v>
      </c>
      <c r="G631" s="64" t="s">
        <v>18</v>
      </c>
      <c r="H631"/>
      <c r="I631"/>
    </row>
    <row r="632" spans="1:9" x14ac:dyDescent="0.35">
      <c r="A632" s="71">
        <f t="shared" si="19"/>
        <v>78737.599999999977</v>
      </c>
      <c r="B632" s="72">
        <f t="shared" si="18"/>
        <v>-9000</v>
      </c>
      <c r="C632" s="70">
        <v>631</v>
      </c>
      <c r="E632" s="66">
        <v>9000</v>
      </c>
      <c r="F632" s="85">
        <v>45514</v>
      </c>
      <c r="G632" s="64" t="s">
        <v>279</v>
      </c>
      <c r="H632"/>
      <c r="I632"/>
    </row>
    <row r="633" spans="1:9" x14ac:dyDescent="0.35">
      <c r="A633" s="71">
        <f t="shared" si="19"/>
        <v>78687.599999999977</v>
      </c>
      <c r="B633" s="72">
        <f t="shared" si="18"/>
        <v>-50</v>
      </c>
      <c r="C633" s="70">
        <v>632</v>
      </c>
      <c r="E633" s="66">
        <v>50</v>
      </c>
      <c r="F633" s="85">
        <v>45514</v>
      </c>
      <c r="G633" s="64" t="s">
        <v>365</v>
      </c>
      <c r="H633"/>
      <c r="I633"/>
    </row>
    <row r="634" spans="1:9" x14ac:dyDescent="0.35">
      <c r="A634" s="71">
        <f t="shared" si="19"/>
        <v>86357.599999999977</v>
      </c>
      <c r="B634" s="72">
        <f t="shared" si="18"/>
        <v>7670</v>
      </c>
      <c r="C634" s="70">
        <v>633</v>
      </c>
      <c r="D634" s="65">
        <v>7790</v>
      </c>
      <c r="E634" s="66">
        <v>120</v>
      </c>
      <c r="F634" s="85">
        <v>45514</v>
      </c>
      <c r="G634" s="64" t="s">
        <v>113</v>
      </c>
      <c r="H634"/>
      <c r="I634"/>
    </row>
    <row r="635" spans="1:9" x14ac:dyDescent="0.35">
      <c r="A635" s="71">
        <f t="shared" si="19"/>
        <v>86157.599999999977</v>
      </c>
      <c r="B635" s="72">
        <f t="shared" si="18"/>
        <v>-200</v>
      </c>
      <c r="C635" s="70">
        <v>634</v>
      </c>
      <c r="E635" s="66">
        <v>200</v>
      </c>
      <c r="F635" s="85">
        <v>45514</v>
      </c>
      <c r="G635" s="64" t="s">
        <v>120</v>
      </c>
      <c r="H635"/>
      <c r="I635"/>
    </row>
    <row r="636" spans="1:9" x14ac:dyDescent="0.35">
      <c r="A636" s="71">
        <f t="shared" si="19"/>
        <v>85957.599999999977</v>
      </c>
      <c r="B636" s="72">
        <f t="shared" si="18"/>
        <v>-200</v>
      </c>
      <c r="C636" s="70">
        <v>635</v>
      </c>
      <c r="E636" s="66">
        <v>200</v>
      </c>
      <c r="F636" s="85">
        <v>45514</v>
      </c>
      <c r="G636" s="64" t="s">
        <v>50</v>
      </c>
      <c r="H636"/>
      <c r="I636"/>
    </row>
    <row r="637" spans="1:9" x14ac:dyDescent="0.35">
      <c r="A637" s="71">
        <f t="shared" si="19"/>
        <v>83857.599999999977</v>
      </c>
      <c r="B637" s="72">
        <f t="shared" si="18"/>
        <v>-2100</v>
      </c>
      <c r="C637" s="70">
        <v>636</v>
      </c>
      <c r="E637" s="66">
        <v>2100</v>
      </c>
      <c r="F637" s="85">
        <v>45515</v>
      </c>
      <c r="G637" s="64" t="s">
        <v>369</v>
      </c>
      <c r="H637"/>
      <c r="I637"/>
    </row>
    <row r="638" spans="1:9" x14ac:dyDescent="0.35">
      <c r="A638" s="71">
        <f t="shared" si="19"/>
        <v>124577.59999999998</v>
      </c>
      <c r="B638" s="72">
        <f t="shared" si="18"/>
        <v>40720</v>
      </c>
      <c r="C638" s="70">
        <v>637</v>
      </c>
      <c r="D638" s="65">
        <v>41220</v>
      </c>
      <c r="E638" s="66">
        <v>500</v>
      </c>
      <c r="F638" s="85">
        <v>45515</v>
      </c>
      <c r="G638" s="64" t="s">
        <v>366</v>
      </c>
      <c r="H638"/>
      <c r="I638"/>
    </row>
    <row r="639" spans="1:9" x14ac:dyDescent="0.35">
      <c r="A639" s="71">
        <f t="shared" si="19"/>
        <v>130192.59999999998</v>
      </c>
      <c r="B639" s="72">
        <f t="shared" si="18"/>
        <v>5615</v>
      </c>
      <c r="C639" s="70">
        <v>638</v>
      </c>
      <c r="D639" s="65">
        <v>5675</v>
      </c>
      <c r="E639" s="66">
        <v>60</v>
      </c>
      <c r="F639" s="85">
        <v>45516</v>
      </c>
      <c r="G639" s="64" t="s">
        <v>44</v>
      </c>
      <c r="H639"/>
      <c r="I639"/>
    </row>
    <row r="640" spans="1:9" x14ac:dyDescent="0.35">
      <c r="A640" s="71">
        <f t="shared" si="19"/>
        <v>130118.59999999998</v>
      </c>
      <c r="B640" s="72">
        <f t="shared" si="18"/>
        <v>-74</v>
      </c>
      <c r="C640" s="70">
        <v>639</v>
      </c>
      <c r="E640" s="66">
        <v>74</v>
      </c>
      <c r="F640" s="85">
        <v>45516</v>
      </c>
      <c r="G640" s="64" t="s">
        <v>368</v>
      </c>
      <c r="H640"/>
      <c r="I640"/>
    </row>
    <row r="641" spans="1:9" x14ac:dyDescent="0.35">
      <c r="A641" s="71">
        <f t="shared" si="19"/>
        <v>127008.59999999998</v>
      </c>
      <c r="B641" s="72">
        <f t="shared" si="18"/>
        <v>-3110</v>
      </c>
      <c r="C641" s="70">
        <v>640</v>
      </c>
      <c r="E641" s="66">
        <v>3110</v>
      </c>
      <c r="F641" s="85">
        <v>45516</v>
      </c>
      <c r="G641" s="64" t="s">
        <v>373</v>
      </c>
      <c r="H641"/>
      <c r="I641"/>
    </row>
    <row r="642" spans="1:9" x14ac:dyDescent="0.35">
      <c r="A642" s="71">
        <f t="shared" si="19"/>
        <v>127548.59999999998</v>
      </c>
      <c r="B642" s="72">
        <f t="shared" si="18"/>
        <v>540</v>
      </c>
      <c r="C642" s="70">
        <v>641</v>
      </c>
      <c r="D642" s="65">
        <v>540</v>
      </c>
      <c r="F642" s="85">
        <v>45517</v>
      </c>
      <c r="G642" s="64" t="s">
        <v>370</v>
      </c>
      <c r="H642"/>
      <c r="I642"/>
    </row>
    <row r="643" spans="1:9" x14ac:dyDescent="0.35">
      <c r="A643" s="71">
        <f t="shared" si="19"/>
        <v>126838.59999999998</v>
      </c>
      <c r="B643" s="72">
        <f t="shared" ref="B643:B706" si="20">SUM(D643-E643)</f>
        <v>-710</v>
      </c>
      <c r="C643" s="70">
        <v>642</v>
      </c>
      <c r="E643" s="66">
        <v>710</v>
      </c>
      <c r="F643" s="85">
        <v>45517</v>
      </c>
      <c r="G643" s="64" t="s">
        <v>371</v>
      </c>
      <c r="H643"/>
      <c r="I643"/>
    </row>
    <row r="644" spans="1:9" x14ac:dyDescent="0.35">
      <c r="A644" s="71">
        <f t="shared" ref="A644:A707" si="21">SUM(A643+B644)</f>
        <v>197843.59999999998</v>
      </c>
      <c r="B644" s="72">
        <f t="shared" si="20"/>
        <v>71005</v>
      </c>
      <c r="C644" s="70">
        <v>643</v>
      </c>
      <c r="D644" s="65">
        <v>71005</v>
      </c>
      <c r="F644" s="85">
        <v>45517</v>
      </c>
      <c r="G644" s="64" t="s">
        <v>12</v>
      </c>
      <c r="H644"/>
      <c r="I644"/>
    </row>
    <row r="645" spans="1:9" x14ac:dyDescent="0.35">
      <c r="A645" s="71">
        <f t="shared" si="21"/>
        <v>197783.59999999998</v>
      </c>
      <c r="B645" s="72">
        <f t="shared" si="20"/>
        <v>-60</v>
      </c>
      <c r="C645" s="70">
        <v>644</v>
      </c>
      <c r="E645" s="66">
        <v>60</v>
      </c>
      <c r="F645" s="85">
        <v>45517</v>
      </c>
      <c r="G645" s="64" t="s">
        <v>39</v>
      </c>
      <c r="H645"/>
      <c r="I645"/>
    </row>
    <row r="646" spans="1:9" x14ac:dyDescent="0.35">
      <c r="A646" s="71">
        <f t="shared" si="21"/>
        <v>196933.59999999998</v>
      </c>
      <c r="B646" s="72">
        <f t="shared" si="20"/>
        <v>-850</v>
      </c>
      <c r="C646" s="70">
        <v>645</v>
      </c>
      <c r="E646" s="66">
        <v>850</v>
      </c>
      <c r="F646" s="85">
        <v>45517</v>
      </c>
      <c r="G646" s="64" t="s">
        <v>372</v>
      </c>
      <c r="H646"/>
      <c r="I646"/>
    </row>
    <row r="647" spans="1:9" x14ac:dyDescent="0.35">
      <c r="A647" s="71">
        <f t="shared" si="21"/>
        <v>225923.59999999998</v>
      </c>
      <c r="B647" s="72">
        <f t="shared" si="20"/>
        <v>28990</v>
      </c>
      <c r="C647" s="70">
        <v>646</v>
      </c>
      <c r="D647" s="65">
        <v>28990</v>
      </c>
      <c r="F647" s="85">
        <v>45518</v>
      </c>
      <c r="G647" s="64" t="s">
        <v>12</v>
      </c>
      <c r="H647"/>
      <c r="I647"/>
    </row>
    <row r="648" spans="1:9" x14ac:dyDescent="0.35">
      <c r="A648" s="71">
        <f t="shared" si="21"/>
        <v>225823.59999999998</v>
      </c>
      <c r="B648" s="72">
        <f t="shared" si="20"/>
        <v>-100</v>
      </c>
      <c r="C648" s="70">
        <v>647</v>
      </c>
      <c r="E648" s="66">
        <v>100</v>
      </c>
      <c r="F648" s="85">
        <v>45518</v>
      </c>
      <c r="G648" s="64" t="s">
        <v>374</v>
      </c>
      <c r="H648"/>
      <c r="I648"/>
    </row>
    <row r="649" spans="1:9" x14ac:dyDescent="0.35">
      <c r="A649" s="71">
        <f t="shared" si="21"/>
        <v>225263.59999999998</v>
      </c>
      <c r="B649" s="72">
        <f t="shared" si="20"/>
        <v>-560</v>
      </c>
      <c r="C649" s="70">
        <v>648</v>
      </c>
      <c r="E649" s="66">
        <v>560</v>
      </c>
      <c r="F649" s="85">
        <v>45518</v>
      </c>
      <c r="G649" s="64" t="s">
        <v>252</v>
      </c>
      <c r="H649"/>
      <c r="I649"/>
    </row>
    <row r="650" spans="1:9" x14ac:dyDescent="0.35">
      <c r="A650" s="71">
        <f t="shared" si="21"/>
        <v>225163.59999999998</v>
      </c>
      <c r="B650" s="72">
        <f t="shared" si="20"/>
        <v>-100</v>
      </c>
      <c r="C650" s="70">
        <v>649</v>
      </c>
      <c r="E650" s="66">
        <v>100</v>
      </c>
      <c r="F650" s="85">
        <v>45518</v>
      </c>
      <c r="G650" s="64" t="s">
        <v>375</v>
      </c>
      <c r="H650"/>
      <c r="I650"/>
    </row>
    <row r="651" spans="1:9" x14ac:dyDescent="0.35">
      <c r="A651" s="71">
        <f t="shared" si="21"/>
        <v>221213.59999999998</v>
      </c>
      <c r="B651" s="72">
        <f t="shared" si="20"/>
        <v>-3950</v>
      </c>
      <c r="C651" s="70">
        <v>650</v>
      </c>
      <c r="E651" s="66">
        <v>3950</v>
      </c>
      <c r="F651" s="85">
        <v>45518</v>
      </c>
      <c r="G651" s="64" t="s">
        <v>376</v>
      </c>
      <c r="H651"/>
      <c r="I651"/>
    </row>
    <row r="652" spans="1:9" x14ac:dyDescent="0.35">
      <c r="A652" s="71">
        <f t="shared" si="21"/>
        <v>41213.599999999977</v>
      </c>
      <c r="B652" s="72">
        <f t="shared" si="20"/>
        <v>-180000</v>
      </c>
      <c r="C652" s="70">
        <v>651</v>
      </c>
      <c r="E652" s="66">
        <v>180000</v>
      </c>
      <c r="F652" s="85">
        <v>45518</v>
      </c>
      <c r="G652" s="64" t="s">
        <v>378</v>
      </c>
      <c r="H652"/>
      <c r="I652"/>
    </row>
    <row r="653" spans="1:9" x14ac:dyDescent="0.35">
      <c r="A653" s="71">
        <f t="shared" si="21"/>
        <v>42143.599999999977</v>
      </c>
      <c r="B653" s="72">
        <f t="shared" si="20"/>
        <v>930</v>
      </c>
      <c r="C653" s="70">
        <v>652</v>
      </c>
      <c r="D653" s="65">
        <v>930</v>
      </c>
      <c r="F653" s="85">
        <v>45519</v>
      </c>
      <c r="G653" s="64" t="s">
        <v>12</v>
      </c>
      <c r="H653"/>
      <c r="I653"/>
    </row>
    <row r="654" spans="1:9" x14ac:dyDescent="0.35">
      <c r="A654" s="71">
        <f t="shared" si="21"/>
        <v>42083.599999999977</v>
      </c>
      <c r="B654" s="72">
        <f t="shared" si="20"/>
        <v>-60</v>
      </c>
      <c r="C654" s="70">
        <v>653</v>
      </c>
      <c r="E654" s="66">
        <v>60</v>
      </c>
      <c r="F654" s="85">
        <v>45519</v>
      </c>
      <c r="G654" s="64" t="s">
        <v>56</v>
      </c>
      <c r="H654"/>
      <c r="I654"/>
    </row>
    <row r="655" spans="1:9" x14ac:dyDescent="0.35">
      <c r="A655" s="71">
        <f t="shared" si="21"/>
        <v>52963.599999999977</v>
      </c>
      <c r="B655" s="72">
        <f t="shared" si="20"/>
        <v>10880</v>
      </c>
      <c r="C655" s="70">
        <v>654</v>
      </c>
      <c r="D655" s="65">
        <v>12880</v>
      </c>
      <c r="E655" s="66">
        <v>2000</v>
      </c>
      <c r="F655" s="85">
        <v>45521</v>
      </c>
      <c r="G655" s="64" t="s">
        <v>377</v>
      </c>
      <c r="H655"/>
      <c r="I655"/>
    </row>
    <row r="656" spans="1:9" x14ac:dyDescent="0.35">
      <c r="A656" s="71">
        <f t="shared" si="21"/>
        <v>52783.599999999977</v>
      </c>
      <c r="B656" s="72">
        <f t="shared" si="20"/>
        <v>-180</v>
      </c>
      <c r="C656" s="70">
        <v>655</v>
      </c>
      <c r="E656" s="66">
        <v>180</v>
      </c>
      <c r="F656" s="85">
        <v>45521</v>
      </c>
      <c r="G656" s="64" t="s">
        <v>58</v>
      </c>
      <c r="H656"/>
      <c r="I656"/>
    </row>
    <row r="657" spans="1:9" x14ac:dyDescent="0.35">
      <c r="A657" s="71">
        <f t="shared" si="21"/>
        <v>52233.599999999977</v>
      </c>
      <c r="B657" s="72">
        <f t="shared" si="20"/>
        <v>-550</v>
      </c>
      <c r="C657" s="70">
        <v>656</v>
      </c>
      <c r="E657" s="66">
        <v>550</v>
      </c>
      <c r="F657" s="85">
        <v>45521</v>
      </c>
      <c r="G657" s="64" t="s">
        <v>252</v>
      </c>
      <c r="H657"/>
      <c r="I657"/>
    </row>
    <row r="658" spans="1:9" x14ac:dyDescent="0.35">
      <c r="A658" s="71">
        <f t="shared" si="21"/>
        <v>46833.599999999977</v>
      </c>
      <c r="B658" s="72">
        <f t="shared" si="20"/>
        <v>-5400</v>
      </c>
      <c r="C658" s="70">
        <v>657</v>
      </c>
      <c r="E658" s="66">
        <v>5400</v>
      </c>
      <c r="F658" s="85">
        <v>45522</v>
      </c>
      <c r="G658" s="64" t="s">
        <v>379</v>
      </c>
      <c r="H658"/>
      <c r="I658"/>
    </row>
    <row r="659" spans="1:9" x14ac:dyDescent="0.35">
      <c r="A659" s="71">
        <f t="shared" si="21"/>
        <v>107694.59999999998</v>
      </c>
      <c r="B659" s="72">
        <f t="shared" si="20"/>
        <v>60861</v>
      </c>
      <c r="C659" s="70">
        <v>658</v>
      </c>
      <c r="D659" s="65">
        <v>60921</v>
      </c>
      <c r="E659" s="66">
        <v>60</v>
      </c>
      <c r="F659" s="85">
        <v>45522</v>
      </c>
      <c r="G659" s="64" t="s">
        <v>62</v>
      </c>
      <c r="H659"/>
      <c r="I659"/>
    </row>
    <row r="660" spans="1:9" x14ac:dyDescent="0.35">
      <c r="A660" s="71">
        <f t="shared" si="21"/>
        <v>107374.59999999998</v>
      </c>
      <c r="B660" s="72">
        <f t="shared" si="20"/>
        <v>-320</v>
      </c>
      <c r="C660" s="70">
        <v>659</v>
      </c>
      <c r="E660" s="66">
        <v>320</v>
      </c>
      <c r="F660" s="85">
        <v>45522</v>
      </c>
      <c r="G660" s="64" t="s">
        <v>75</v>
      </c>
      <c r="H660"/>
      <c r="I660"/>
    </row>
    <row r="661" spans="1:9" x14ac:dyDescent="0.35">
      <c r="A661" s="71">
        <f t="shared" si="21"/>
        <v>107324.59999999998</v>
      </c>
      <c r="B661" s="72">
        <f t="shared" si="20"/>
        <v>-50</v>
      </c>
      <c r="C661" s="70">
        <v>660</v>
      </c>
      <c r="E661" s="66">
        <v>50</v>
      </c>
      <c r="F661" s="85">
        <v>45522</v>
      </c>
      <c r="G661" s="64" t="s">
        <v>380</v>
      </c>
      <c r="H661"/>
      <c r="I661"/>
    </row>
    <row r="662" spans="1:9" x14ac:dyDescent="0.35">
      <c r="A662" s="71">
        <f t="shared" si="21"/>
        <v>126199.59999999998</v>
      </c>
      <c r="B662" s="72">
        <f t="shared" si="20"/>
        <v>18875</v>
      </c>
      <c r="C662" s="70">
        <v>661</v>
      </c>
      <c r="D662" s="65">
        <v>18940</v>
      </c>
      <c r="E662" s="66">
        <v>65</v>
      </c>
      <c r="F662" s="85">
        <v>45523</v>
      </c>
      <c r="G662" s="64" t="s">
        <v>36</v>
      </c>
      <c r="H662"/>
      <c r="I662"/>
    </row>
    <row r="663" spans="1:9" x14ac:dyDescent="0.35">
      <c r="A663" s="71">
        <f t="shared" si="21"/>
        <v>126139.59999999998</v>
      </c>
      <c r="B663" s="72">
        <f t="shared" si="20"/>
        <v>-60</v>
      </c>
      <c r="C663" s="70">
        <v>662</v>
      </c>
      <c r="E663" s="66">
        <v>60</v>
      </c>
      <c r="F663" s="85">
        <v>45523</v>
      </c>
      <c r="G663" s="64" t="s">
        <v>211</v>
      </c>
      <c r="H663"/>
      <c r="I663"/>
    </row>
    <row r="664" spans="1:9" x14ac:dyDescent="0.35">
      <c r="A664" s="71">
        <f t="shared" si="21"/>
        <v>125819.59999999998</v>
      </c>
      <c r="B664" s="72">
        <f t="shared" si="20"/>
        <v>-320</v>
      </c>
      <c r="C664" s="70">
        <v>663</v>
      </c>
      <c r="E664" s="66">
        <v>320</v>
      </c>
      <c r="F664" s="85">
        <v>45523</v>
      </c>
      <c r="G664" s="64" t="s">
        <v>75</v>
      </c>
      <c r="H664"/>
      <c r="I664"/>
    </row>
    <row r="665" spans="1:9" x14ac:dyDescent="0.35">
      <c r="A665" s="71">
        <f t="shared" si="21"/>
        <v>122459.59999999998</v>
      </c>
      <c r="B665" s="72">
        <f t="shared" si="20"/>
        <v>-3360</v>
      </c>
      <c r="C665" s="70">
        <v>664</v>
      </c>
      <c r="E665" s="66">
        <v>3360</v>
      </c>
      <c r="F665" s="85">
        <v>45523</v>
      </c>
      <c r="G665" s="64" t="s">
        <v>384</v>
      </c>
      <c r="H665"/>
      <c r="I665"/>
    </row>
    <row r="666" spans="1:9" x14ac:dyDescent="0.35">
      <c r="A666" s="71">
        <f t="shared" si="21"/>
        <v>107459.59999999998</v>
      </c>
      <c r="B666" s="72">
        <f t="shared" si="20"/>
        <v>-15000</v>
      </c>
      <c r="C666" s="70">
        <v>665</v>
      </c>
      <c r="E666" s="66">
        <v>15000</v>
      </c>
      <c r="F666" s="85">
        <v>45523</v>
      </c>
      <c r="G666" s="64" t="s">
        <v>295</v>
      </c>
      <c r="H666"/>
      <c r="I666"/>
    </row>
    <row r="667" spans="1:9" x14ac:dyDescent="0.35">
      <c r="A667" s="71">
        <f t="shared" si="21"/>
        <v>107484.59999999998</v>
      </c>
      <c r="B667" s="72">
        <f t="shared" si="20"/>
        <v>25</v>
      </c>
      <c r="C667" s="70">
        <v>666</v>
      </c>
      <c r="D667" s="65">
        <v>25</v>
      </c>
      <c r="F667" s="85">
        <v>45524</v>
      </c>
      <c r="G667" s="64" t="s">
        <v>326</v>
      </c>
      <c r="H667"/>
      <c r="I667"/>
    </row>
    <row r="668" spans="1:9" x14ac:dyDescent="0.35">
      <c r="A668" s="71">
        <f t="shared" si="21"/>
        <v>148174.59999999998</v>
      </c>
      <c r="B668" s="72">
        <f t="shared" si="20"/>
        <v>40690</v>
      </c>
      <c r="C668" s="70">
        <v>667</v>
      </c>
      <c r="D668" s="65">
        <v>41890</v>
      </c>
      <c r="E668" s="66">
        <v>1200</v>
      </c>
      <c r="F668" s="85">
        <v>45524</v>
      </c>
      <c r="G668" s="64" t="s">
        <v>381</v>
      </c>
      <c r="H668"/>
      <c r="I668"/>
    </row>
    <row r="669" spans="1:9" x14ac:dyDescent="0.35">
      <c r="A669" s="71">
        <f t="shared" si="21"/>
        <v>148174.59999999998</v>
      </c>
      <c r="B669" s="72">
        <f t="shared" si="20"/>
        <v>0</v>
      </c>
      <c r="C669" s="70">
        <v>668</v>
      </c>
      <c r="D669" s="65">
        <v>1200</v>
      </c>
      <c r="E669" s="66">
        <v>1200</v>
      </c>
      <c r="F669" s="85">
        <v>45524</v>
      </c>
      <c r="G669" s="64" t="s">
        <v>648</v>
      </c>
      <c r="H669"/>
      <c r="I669"/>
    </row>
    <row r="670" spans="1:9" x14ac:dyDescent="0.35">
      <c r="A670" s="71">
        <f t="shared" si="21"/>
        <v>138174.59999999998</v>
      </c>
      <c r="B670" s="72">
        <f t="shared" si="20"/>
        <v>-10000</v>
      </c>
      <c r="C670" s="70">
        <v>669</v>
      </c>
      <c r="E670" s="66">
        <v>10000</v>
      </c>
      <c r="F670" s="85">
        <v>45525</v>
      </c>
      <c r="G670" s="64" t="s">
        <v>383</v>
      </c>
      <c r="H670"/>
      <c r="I670"/>
    </row>
    <row r="671" spans="1:9" x14ac:dyDescent="0.35">
      <c r="A671" s="71">
        <f t="shared" si="21"/>
        <v>118174.59999999998</v>
      </c>
      <c r="B671" s="72">
        <f t="shared" si="20"/>
        <v>-20000</v>
      </c>
      <c r="C671" s="70">
        <v>670</v>
      </c>
      <c r="E671" s="66">
        <v>20000</v>
      </c>
      <c r="F671" s="85">
        <v>45525</v>
      </c>
      <c r="G671" s="64" t="s">
        <v>382</v>
      </c>
      <c r="H671"/>
      <c r="I671"/>
    </row>
    <row r="672" spans="1:9" x14ac:dyDescent="0.35">
      <c r="A672" s="71">
        <f t="shared" si="21"/>
        <v>117994.59999999998</v>
      </c>
      <c r="B672" s="72">
        <f t="shared" si="20"/>
        <v>-180</v>
      </c>
      <c r="C672" s="70">
        <v>671</v>
      </c>
      <c r="E672" s="66">
        <v>180</v>
      </c>
      <c r="F672" s="85">
        <v>45525</v>
      </c>
      <c r="G672" s="64" t="s">
        <v>322</v>
      </c>
      <c r="H672"/>
      <c r="I672"/>
    </row>
    <row r="673" spans="1:9" x14ac:dyDescent="0.35">
      <c r="A673" s="71">
        <f t="shared" si="21"/>
        <v>117875.59999999998</v>
      </c>
      <c r="B673" s="72">
        <f t="shared" si="20"/>
        <v>-119</v>
      </c>
      <c r="C673" s="70">
        <v>672</v>
      </c>
      <c r="E673" s="66">
        <v>119</v>
      </c>
      <c r="F673" s="85">
        <v>45525</v>
      </c>
      <c r="G673" s="64" t="s">
        <v>65</v>
      </c>
      <c r="H673"/>
      <c r="I673"/>
    </row>
    <row r="674" spans="1:9" x14ac:dyDescent="0.35">
      <c r="A674" s="71">
        <f t="shared" si="21"/>
        <v>140155.59999999998</v>
      </c>
      <c r="B674" s="72">
        <f t="shared" si="20"/>
        <v>22280</v>
      </c>
      <c r="C674" s="70">
        <v>673</v>
      </c>
      <c r="D674" s="65">
        <v>22980</v>
      </c>
      <c r="E674" s="66">
        <v>700</v>
      </c>
      <c r="F674" s="85">
        <v>45525</v>
      </c>
      <c r="G674" s="64" t="s">
        <v>64</v>
      </c>
      <c r="H674"/>
      <c r="I674"/>
    </row>
    <row r="675" spans="1:9" x14ac:dyDescent="0.35">
      <c r="A675" s="71">
        <f t="shared" si="21"/>
        <v>140015.59999999998</v>
      </c>
      <c r="B675" s="72">
        <f t="shared" si="20"/>
        <v>-140</v>
      </c>
      <c r="C675" s="70">
        <v>674</v>
      </c>
      <c r="E675" s="66">
        <v>140</v>
      </c>
      <c r="F675" s="85">
        <v>45526</v>
      </c>
      <c r="G675" s="64" t="s">
        <v>391</v>
      </c>
      <c r="H675"/>
      <c r="I675"/>
    </row>
    <row r="676" spans="1:9" x14ac:dyDescent="0.35">
      <c r="A676" s="71">
        <f t="shared" si="21"/>
        <v>138045.59999999998</v>
      </c>
      <c r="B676" s="72">
        <f t="shared" si="20"/>
        <v>-1970</v>
      </c>
      <c r="C676" s="70">
        <v>675</v>
      </c>
      <c r="E676" s="66">
        <v>1970</v>
      </c>
      <c r="F676" s="85">
        <v>45526</v>
      </c>
      <c r="G676" s="64" t="s">
        <v>385</v>
      </c>
      <c r="H676"/>
      <c r="I676"/>
    </row>
    <row r="677" spans="1:9" x14ac:dyDescent="0.35">
      <c r="A677" s="71">
        <f t="shared" si="21"/>
        <v>138490.59999999998</v>
      </c>
      <c r="B677" s="72">
        <f t="shared" si="20"/>
        <v>445</v>
      </c>
      <c r="C677" s="70">
        <v>676</v>
      </c>
      <c r="D677" s="65">
        <v>610</v>
      </c>
      <c r="E677" s="66">
        <v>165</v>
      </c>
      <c r="F677" s="85">
        <v>45526</v>
      </c>
      <c r="G677" s="64" t="s">
        <v>386</v>
      </c>
      <c r="H677"/>
      <c r="I677"/>
    </row>
    <row r="678" spans="1:9" x14ac:dyDescent="0.35">
      <c r="A678" s="71">
        <f t="shared" si="21"/>
        <v>145340.59999999998</v>
      </c>
      <c r="B678" s="72">
        <f t="shared" si="20"/>
        <v>6850</v>
      </c>
      <c r="C678" s="70">
        <v>677</v>
      </c>
      <c r="D678" s="65">
        <v>7070</v>
      </c>
      <c r="E678" s="66">
        <v>220</v>
      </c>
      <c r="F678" s="85">
        <v>45528</v>
      </c>
      <c r="G678" s="64" t="s">
        <v>50</v>
      </c>
      <c r="H678"/>
      <c r="I678"/>
    </row>
    <row r="679" spans="1:9" x14ac:dyDescent="0.35">
      <c r="A679" s="71">
        <f t="shared" si="21"/>
        <v>177010.59999999998</v>
      </c>
      <c r="B679" s="72">
        <f t="shared" si="20"/>
        <v>31670</v>
      </c>
      <c r="C679" s="70">
        <v>678</v>
      </c>
      <c r="D679" s="65">
        <v>31730</v>
      </c>
      <c r="E679" s="66">
        <v>60</v>
      </c>
      <c r="F679" s="85">
        <v>45529</v>
      </c>
      <c r="G679" s="64" t="s">
        <v>100</v>
      </c>
      <c r="H679"/>
      <c r="I679"/>
    </row>
    <row r="680" spans="1:9" x14ac:dyDescent="0.35">
      <c r="A680" s="71">
        <f t="shared" si="21"/>
        <v>176890.59999999998</v>
      </c>
      <c r="B680" s="72">
        <f t="shared" si="20"/>
        <v>-120</v>
      </c>
      <c r="C680" s="70">
        <v>679</v>
      </c>
      <c r="E680" s="66">
        <v>120</v>
      </c>
      <c r="F680" s="85">
        <v>45529</v>
      </c>
      <c r="G680" s="64" t="s">
        <v>387</v>
      </c>
      <c r="H680"/>
      <c r="I680"/>
    </row>
    <row r="681" spans="1:9" x14ac:dyDescent="0.35">
      <c r="A681" s="71">
        <f t="shared" si="21"/>
        <v>175010.59999999998</v>
      </c>
      <c r="B681" s="72">
        <f t="shared" si="20"/>
        <v>-1880</v>
      </c>
      <c r="C681" s="70">
        <v>680</v>
      </c>
      <c r="E681" s="66">
        <v>1880</v>
      </c>
      <c r="F681" s="85">
        <v>45529</v>
      </c>
      <c r="G681" s="64" t="s">
        <v>244</v>
      </c>
      <c r="H681"/>
      <c r="I681"/>
    </row>
    <row r="682" spans="1:9" x14ac:dyDescent="0.35">
      <c r="A682" s="71">
        <f t="shared" si="21"/>
        <v>155010.59999999998</v>
      </c>
      <c r="B682" s="72">
        <f t="shared" si="20"/>
        <v>-20000</v>
      </c>
      <c r="C682" s="70">
        <v>681</v>
      </c>
      <c r="E682" s="66">
        <v>20000</v>
      </c>
      <c r="F682" s="85">
        <v>45530</v>
      </c>
      <c r="G682" s="64" t="s">
        <v>388</v>
      </c>
      <c r="H682"/>
      <c r="I682"/>
    </row>
    <row r="683" spans="1:9" x14ac:dyDescent="0.35">
      <c r="A683" s="71">
        <f t="shared" si="21"/>
        <v>158880.59999999998</v>
      </c>
      <c r="B683" s="72">
        <f t="shared" si="20"/>
        <v>3870</v>
      </c>
      <c r="C683" s="70">
        <v>682</v>
      </c>
      <c r="D683" s="65">
        <v>3930</v>
      </c>
      <c r="E683" s="66">
        <v>60</v>
      </c>
      <c r="F683" s="85">
        <v>45530</v>
      </c>
      <c r="G683" s="64" t="s">
        <v>390</v>
      </c>
      <c r="H683"/>
      <c r="I683"/>
    </row>
    <row r="684" spans="1:9" x14ac:dyDescent="0.35">
      <c r="A684" s="71">
        <f t="shared" si="21"/>
        <v>158560.59999999998</v>
      </c>
      <c r="B684" s="72">
        <f t="shared" si="20"/>
        <v>-320</v>
      </c>
      <c r="C684" s="70">
        <v>683</v>
      </c>
      <c r="E684" s="66">
        <v>320</v>
      </c>
      <c r="F684" s="85">
        <v>45530</v>
      </c>
      <c r="G684" s="64" t="s">
        <v>75</v>
      </c>
      <c r="H684"/>
      <c r="I684"/>
    </row>
    <row r="685" spans="1:9" x14ac:dyDescent="0.35">
      <c r="A685" s="71">
        <f t="shared" si="21"/>
        <v>158420.59999999998</v>
      </c>
      <c r="B685" s="72">
        <f t="shared" si="20"/>
        <v>-140</v>
      </c>
      <c r="C685" s="70">
        <v>684</v>
      </c>
      <c r="E685" s="66">
        <v>140</v>
      </c>
      <c r="F685" s="85">
        <v>45530</v>
      </c>
      <c r="G685" s="64" t="s">
        <v>389</v>
      </c>
      <c r="H685"/>
      <c r="I685"/>
    </row>
    <row r="686" spans="1:9" x14ac:dyDescent="0.35">
      <c r="A686" s="71">
        <f t="shared" si="21"/>
        <v>156420.59999999998</v>
      </c>
      <c r="B686" s="72">
        <f t="shared" si="20"/>
        <v>-2000</v>
      </c>
      <c r="C686" s="70">
        <v>685</v>
      </c>
      <c r="E686" s="66">
        <v>2000</v>
      </c>
      <c r="F686" s="85">
        <v>45530</v>
      </c>
      <c r="G686" s="64" t="s">
        <v>135</v>
      </c>
      <c r="H686"/>
      <c r="I686"/>
    </row>
    <row r="687" spans="1:9" x14ac:dyDescent="0.35">
      <c r="A687" s="71">
        <f t="shared" si="21"/>
        <v>160790.59999999998</v>
      </c>
      <c r="B687" s="72">
        <f t="shared" si="20"/>
        <v>4370</v>
      </c>
      <c r="C687" s="70">
        <v>686</v>
      </c>
      <c r="D687" s="65">
        <v>4520</v>
      </c>
      <c r="E687" s="66">
        <v>150</v>
      </c>
      <c r="F687" s="85">
        <v>45531</v>
      </c>
      <c r="G687" s="64" t="s">
        <v>120</v>
      </c>
      <c r="H687"/>
      <c r="I687"/>
    </row>
    <row r="688" spans="1:9" x14ac:dyDescent="0.35">
      <c r="A688" s="71">
        <f t="shared" si="21"/>
        <v>158750.59999999998</v>
      </c>
      <c r="B688" s="72">
        <f t="shared" si="20"/>
        <v>-2040</v>
      </c>
      <c r="C688" s="70">
        <v>687</v>
      </c>
      <c r="E688" s="66">
        <v>2040</v>
      </c>
      <c r="F688" s="85">
        <v>45532</v>
      </c>
      <c r="G688" s="64" t="s">
        <v>393</v>
      </c>
      <c r="H688"/>
      <c r="I688"/>
    </row>
    <row r="689" spans="1:9" x14ac:dyDescent="0.35">
      <c r="A689" s="71">
        <f t="shared" si="21"/>
        <v>157750.59999999998</v>
      </c>
      <c r="B689" s="72">
        <f t="shared" si="20"/>
        <v>-1000</v>
      </c>
      <c r="C689" s="70">
        <v>688</v>
      </c>
      <c r="E689" s="66">
        <v>1000</v>
      </c>
      <c r="F689" s="85">
        <v>45532</v>
      </c>
      <c r="G689" s="64" t="s">
        <v>392</v>
      </c>
      <c r="H689"/>
      <c r="I689"/>
    </row>
    <row r="690" spans="1:9" x14ac:dyDescent="0.35">
      <c r="A690" s="71">
        <f t="shared" si="21"/>
        <v>157690.59999999998</v>
      </c>
      <c r="B690" s="72">
        <f t="shared" si="20"/>
        <v>-60</v>
      </c>
      <c r="C690" s="70">
        <v>689</v>
      </c>
      <c r="E690" s="66">
        <v>60</v>
      </c>
      <c r="F690" s="85">
        <v>45532</v>
      </c>
      <c r="G690" s="64" t="s">
        <v>80</v>
      </c>
      <c r="H690"/>
      <c r="I690"/>
    </row>
    <row r="691" spans="1:9" x14ac:dyDescent="0.35">
      <c r="A691" s="71">
        <f t="shared" si="21"/>
        <v>172570.59999999998</v>
      </c>
      <c r="B691" s="72">
        <f t="shared" si="20"/>
        <v>14880</v>
      </c>
      <c r="C691" s="70">
        <v>690</v>
      </c>
      <c r="D691" s="65">
        <v>14940</v>
      </c>
      <c r="E691" s="66">
        <v>60</v>
      </c>
      <c r="F691" s="85">
        <v>45532</v>
      </c>
      <c r="G691" s="64" t="s">
        <v>36</v>
      </c>
      <c r="H691"/>
      <c r="I691"/>
    </row>
    <row r="692" spans="1:9" x14ac:dyDescent="0.35">
      <c r="A692" s="71">
        <f t="shared" si="21"/>
        <v>173790.59999999998</v>
      </c>
      <c r="B692" s="72">
        <f t="shared" si="20"/>
        <v>1220</v>
      </c>
      <c r="C692" s="70">
        <v>691</v>
      </c>
      <c r="D692" s="65">
        <v>1280</v>
      </c>
      <c r="E692" s="66">
        <v>60</v>
      </c>
      <c r="F692" s="85">
        <v>45533</v>
      </c>
      <c r="G692" s="64" t="s">
        <v>127</v>
      </c>
      <c r="H692"/>
      <c r="I692"/>
    </row>
    <row r="693" spans="1:9" x14ac:dyDescent="0.35">
      <c r="A693" s="71">
        <f t="shared" si="21"/>
        <v>173684.59999999998</v>
      </c>
      <c r="B693" s="72">
        <f t="shared" si="20"/>
        <v>-106</v>
      </c>
      <c r="C693" s="70">
        <v>692</v>
      </c>
      <c r="E693" s="66">
        <v>106</v>
      </c>
      <c r="F693" s="85">
        <v>45533</v>
      </c>
      <c r="G693" s="64" t="s">
        <v>2</v>
      </c>
      <c r="H693"/>
      <c r="I693"/>
    </row>
    <row r="694" spans="1:9" x14ac:dyDescent="0.35">
      <c r="A694" s="71">
        <f t="shared" si="21"/>
        <v>185154.59999999998</v>
      </c>
      <c r="B694" s="72">
        <f t="shared" si="20"/>
        <v>11470</v>
      </c>
      <c r="C694" s="70">
        <v>693</v>
      </c>
      <c r="D694" s="65">
        <v>11670</v>
      </c>
      <c r="E694" s="66">
        <v>200</v>
      </c>
      <c r="F694" s="85">
        <v>45535</v>
      </c>
      <c r="G694" s="64" t="s">
        <v>400</v>
      </c>
      <c r="H694"/>
      <c r="I694"/>
    </row>
    <row r="695" spans="1:9" x14ac:dyDescent="0.35">
      <c r="A695" s="71">
        <f t="shared" si="21"/>
        <v>185034.59999999998</v>
      </c>
      <c r="B695" s="72">
        <f t="shared" si="20"/>
        <v>-120</v>
      </c>
      <c r="C695" s="70">
        <v>694</v>
      </c>
      <c r="E695" s="66">
        <v>120</v>
      </c>
      <c r="F695" s="85">
        <v>45535</v>
      </c>
      <c r="G695" s="64" t="s">
        <v>136</v>
      </c>
      <c r="H695"/>
      <c r="I695"/>
    </row>
    <row r="696" spans="1:9" x14ac:dyDescent="0.35">
      <c r="A696" s="71">
        <f t="shared" si="21"/>
        <v>184934.59999999998</v>
      </c>
      <c r="B696" s="72">
        <f t="shared" si="20"/>
        <v>-100</v>
      </c>
      <c r="C696" s="70">
        <v>695</v>
      </c>
      <c r="E696" s="66">
        <v>100</v>
      </c>
      <c r="F696" s="85">
        <v>45535</v>
      </c>
      <c r="G696" s="64" t="s">
        <v>120</v>
      </c>
      <c r="H696"/>
      <c r="I696"/>
    </row>
    <row r="697" spans="1:9" x14ac:dyDescent="0.35">
      <c r="A697" s="71">
        <f t="shared" si="21"/>
        <v>184874.59999999998</v>
      </c>
      <c r="B697" s="72">
        <f t="shared" si="20"/>
        <v>-60</v>
      </c>
      <c r="C697" s="70">
        <v>696</v>
      </c>
      <c r="E697" s="66">
        <v>60</v>
      </c>
      <c r="F697" s="85">
        <v>45535</v>
      </c>
      <c r="G697" s="64" t="s">
        <v>395</v>
      </c>
      <c r="H697"/>
      <c r="I697"/>
    </row>
    <row r="698" spans="1:9" x14ac:dyDescent="0.35">
      <c r="A698" s="71">
        <f t="shared" si="21"/>
        <v>122273.59999999998</v>
      </c>
      <c r="B698" s="72">
        <f t="shared" si="20"/>
        <v>-62601</v>
      </c>
      <c r="C698" s="70">
        <v>697</v>
      </c>
      <c r="E698" s="66">
        <v>62601</v>
      </c>
      <c r="F698" s="85">
        <v>45536</v>
      </c>
      <c r="G698" s="64" t="s">
        <v>298</v>
      </c>
      <c r="H698"/>
      <c r="I698"/>
    </row>
    <row r="699" spans="1:9" x14ac:dyDescent="0.35">
      <c r="A699" s="71">
        <f t="shared" si="21"/>
        <v>112273.59999999998</v>
      </c>
      <c r="B699" s="72">
        <f t="shared" si="20"/>
        <v>-10000</v>
      </c>
      <c r="C699" s="70">
        <v>698</v>
      </c>
      <c r="E699" s="66">
        <v>10000</v>
      </c>
      <c r="F699" s="85">
        <v>45536</v>
      </c>
      <c r="G699" s="64" t="s">
        <v>396</v>
      </c>
      <c r="H699"/>
      <c r="I699"/>
    </row>
    <row r="700" spans="1:9" x14ac:dyDescent="0.35">
      <c r="A700" s="71">
        <f t="shared" si="21"/>
        <v>112323.59999999998</v>
      </c>
      <c r="B700" s="72">
        <f t="shared" si="20"/>
        <v>50</v>
      </c>
      <c r="C700" s="70">
        <v>699</v>
      </c>
      <c r="D700" s="65">
        <v>50</v>
      </c>
      <c r="F700" s="85">
        <v>45536</v>
      </c>
      <c r="G700" s="64" t="s">
        <v>397</v>
      </c>
      <c r="H700"/>
      <c r="I700"/>
    </row>
    <row r="701" spans="1:9" x14ac:dyDescent="0.35">
      <c r="A701" s="71">
        <f t="shared" si="21"/>
        <v>111323.59999999998</v>
      </c>
      <c r="B701" s="72">
        <f t="shared" si="20"/>
        <v>-1000</v>
      </c>
      <c r="C701" s="70">
        <v>700</v>
      </c>
      <c r="E701" s="66">
        <v>1000</v>
      </c>
      <c r="F701" s="85">
        <v>45536</v>
      </c>
      <c r="G701" s="64" t="s">
        <v>24</v>
      </c>
      <c r="H701"/>
      <c r="I701"/>
    </row>
    <row r="702" spans="1:9" x14ac:dyDescent="0.35">
      <c r="A702" s="71">
        <f t="shared" si="21"/>
        <v>67323.599999999977</v>
      </c>
      <c r="B702" s="72">
        <f t="shared" si="20"/>
        <v>-44000</v>
      </c>
      <c r="C702" s="70">
        <v>701</v>
      </c>
      <c r="E702" s="66">
        <v>44000</v>
      </c>
      <c r="F702" s="85">
        <v>45536</v>
      </c>
      <c r="G702" s="64" t="s">
        <v>398</v>
      </c>
      <c r="H702"/>
      <c r="I702"/>
    </row>
    <row r="703" spans="1:9" x14ac:dyDescent="0.35">
      <c r="A703" s="71">
        <f t="shared" si="21"/>
        <v>67243.599999999977</v>
      </c>
      <c r="B703" s="72">
        <f t="shared" si="20"/>
        <v>-80</v>
      </c>
      <c r="C703" s="70">
        <v>702</v>
      </c>
      <c r="E703" s="66">
        <v>80</v>
      </c>
      <c r="F703" s="85">
        <v>45536</v>
      </c>
      <c r="G703" s="64" t="s">
        <v>399</v>
      </c>
      <c r="H703"/>
      <c r="I703"/>
    </row>
    <row r="704" spans="1:9" x14ac:dyDescent="0.35">
      <c r="A704" s="71">
        <f t="shared" si="21"/>
        <v>67963.599999999977</v>
      </c>
      <c r="B704" s="72">
        <f t="shared" si="20"/>
        <v>720</v>
      </c>
      <c r="C704" s="70">
        <v>703</v>
      </c>
      <c r="D704" s="65">
        <v>720</v>
      </c>
      <c r="F704" s="85">
        <v>45536</v>
      </c>
      <c r="G704" s="64" t="s">
        <v>401</v>
      </c>
      <c r="H704"/>
      <c r="I704"/>
    </row>
    <row r="705" spans="1:9" x14ac:dyDescent="0.35">
      <c r="A705" s="71">
        <f t="shared" si="21"/>
        <v>68013.599999999977</v>
      </c>
      <c r="B705" s="72">
        <f t="shared" si="20"/>
        <v>50</v>
      </c>
      <c r="C705" s="70">
        <v>704</v>
      </c>
      <c r="D705" s="65">
        <v>50</v>
      </c>
      <c r="F705" s="85">
        <v>45536</v>
      </c>
      <c r="G705" s="64" t="s">
        <v>402</v>
      </c>
      <c r="H705"/>
      <c r="I705"/>
    </row>
    <row r="706" spans="1:9" x14ac:dyDescent="0.35">
      <c r="A706" s="71">
        <f t="shared" si="21"/>
        <v>43813.599999999977</v>
      </c>
      <c r="B706" s="72">
        <f t="shared" si="20"/>
        <v>-24200</v>
      </c>
      <c r="C706" s="70">
        <v>705</v>
      </c>
      <c r="E706" s="66">
        <v>24200</v>
      </c>
      <c r="F706" s="85">
        <v>45537</v>
      </c>
      <c r="G706" s="64" t="s">
        <v>15</v>
      </c>
      <c r="H706"/>
      <c r="I706"/>
    </row>
    <row r="707" spans="1:9" x14ac:dyDescent="0.35">
      <c r="A707" s="71">
        <f t="shared" si="21"/>
        <v>43433.599999999977</v>
      </c>
      <c r="B707" s="72">
        <f t="shared" ref="B707:B770" si="22">SUM(D707-E707)</f>
        <v>-380</v>
      </c>
      <c r="C707" s="70">
        <v>706</v>
      </c>
      <c r="E707" s="66">
        <v>380</v>
      </c>
      <c r="F707" s="85">
        <v>45536</v>
      </c>
      <c r="G707" s="64" t="s">
        <v>403</v>
      </c>
      <c r="H707"/>
      <c r="I707"/>
    </row>
    <row r="708" spans="1:9" x14ac:dyDescent="0.35">
      <c r="A708" s="71">
        <f t="shared" ref="A708:A771" si="23">SUM(A707+B708)</f>
        <v>71173.599999999977</v>
      </c>
      <c r="B708" s="72">
        <f t="shared" si="22"/>
        <v>27740</v>
      </c>
      <c r="C708" s="70">
        <v>707</v>
      </c>
      <c r="D708" s="65">
        <v>27790</v>
      </c>
      <c r="E708" s="66">
        <v>50</v>
      </c>
      <c r="F708" s="85">
        <v>45536</v>
      </c>
      <c r="G708" s="64" t="s">
        <v>404</v>
      </c>
      <c r="H708"/>
      <c r="I708"/>
    </row>
    <row r="709" spans="1:9" x14ac:dyDescent="0.35">
      <c r="A709" s="71">
        <f t="shared" si="23"/>
        <v>71113.599999999977</v>
      </c>
      <c r="B709" s="72">
        <f t="shared" si="22"/>
        <v>-60</v>
      </c>
      <c r="C709" s="70">
        <v>708</v>
      </c>
      <c r="E709" s="66">
        <v>60</v>
      </c>
      <c r="F709" s="85">
        <v>45536</v>
      </c>
      <c r="G709" s="64" t="s">
        <v>30</v>
      </c>
      <c r="H709"/>
      <c r="I709"/>
    </row>
    <row r="710" spans="1:9" x14ac:dyDescent="0.35">
      <c r="A710" s="71">
        <f t="shared" si="23"/>
        <v>71013.599999999977</v>
      </c>
      <c r="B710" s="72">
        <f t="shared" si="22"/>
        <v>-100</v>
      </c>
      <c r="C710" s="70">
        <v>709</v>
      </c>
      <c r="E710" s="66">
        <v>100</v>
      </c>
      <c r="F710" s="85">
        <v>45536</v>
      </c>
      <c r="G710" s="64" t="s">
        <v>507</v>
      </c>
      <c r="H710"/>
      <c r="I710"/>
    </row>
    <row r="711" spans="1:9" x14ac:dyDescent="0.35">
      <c r="A711" s="71">
        <f t="shared" si="23"/>
        <v>70943.599999999977</v>
      </c>
      <c r="B711" s="72">
        <f t="shared" si="22"/>
        <v>-70</v>
      </c>
      <c r="C711" s="70">
        <v>710</v>
      </c>
      <c r="E711" s="66">
        <v>70</v>
      </c>
      <c r="F711" s="85">
        <v>45536</v>
      </c>
      <c r="G711" s="64" t="s">
        <v>99</v>
      </c>
      <c r="H711"/>
      <c r="I711"/>
    </row>
    <row r="712" spans="1:9" x14ac:dyDescent="0.35">
      <c r="A712" s="71">
        <f t="shared" si="23"/>
        <v>70843.599999999977</v>
      </c>
      <c r="B712" s="72">
        <f t="shared" si="22"/>
        <v>-100</v>
      </c>
      <c r="C712" s="70">
        <v>711</v>
      </c>
      <c r="E712" s="66">
        <v>100</v>
      </c>
      <c r="F712" s="85">
        <v>45536</v>
      </c>
      <c r="G712" s="64" t="s">
        <v>149</v>
      </c>
      <c r="H712"/>
      <c r="I712"/>
    </row>
    <row r="713" spans="1:9" x14ac:dyDescent="0.35">
      <c r="A713" s="71">
        <f t="shared" si="23"/>
        <v>76943.599999999977</v>
      </c>
      <c r="B713" s="72">
        <f t="shared" si="22"/>
        <v>6100</v>
      </c>
      <c r="C713" s="70">
        <v>712</v>
      </c>
      <c r="D713" s="65">
        <v>6250</v>
      </c>
      <c r="E713" s="66">
        <v>150</v>
      </c>
      <c r="F713" s="85">
        <v>45537</v>
      </c>
      <c r="G713" s="64" t="s">
        <v>0</v>
      </c>
      <c r="H713"/>
      <c r="I713"/>
    </row>
    <row r="714" spans="1:9" x14ac:dyDescent="0.35">
      <c r="A714" s="71">
        <f t="shared" si="23"/>
        <v>76783.599999999977</v>
      </c>
      <c r="B714" s="72">
        <f t="shared" si="22"/>
        <v>-160</v>
      </c>
      <c r="C714" s="70">
        <v>713</v>
      </c>
      <c r="E714" s="66">
        <v>160</v>
      </c>
      <c r="F714" s="85">
        <v>45537</v>
      </c>
      <c r="G714" s="64" t="s">
        <v>406</v>
      </c>
      <c r="H714"/>
      <c r="I714"/>
    </row>
    <row r="715" spans="1:9" x14ac:dyDescent="0.35">
      <c r="A715" s="71">
        <f t="shared" si="23"/>
        <v>76723.599999999977</v>
      </c>
      <c r="B715" s="72">
        <f t="shared" si="22"/>
        <v>-60</v>
      </c>
      <c r="C715" s="70">
        <v>714</v>
      </c>
      <c r="E715" s="66">
        <v>60</v>
      </c>
      <c r="F715" s="85">
        <v>45537</v>
      </c>
      <c r="G715" s="64" t="s">
        <v>39</v>
      </c>
      <c r="H715"/>
      <c r="I715"/>
    </row>
    <row r="716" spans="1:9" x14ac:dyDescent="0.35">
      <c r="A716" s="71">
        <f t="shared" si="23"/>
        <v>73123.599999999977</v>
      </c>
      <c r="B716" s="72">
        <f t="shared" si="22"/>
        <v>-3600</v>
      </c>
      <c r="C716" s="70">
        <v>715</v>
      </c>
      <c r="E716" s="66">
        <v>3600</v>
      </c>
      <c r="F716" s="85">
        <v>45537</v>
      </c>
      <c r="G716" s="64" t="s">
        <v>174</v>
      </c>
      <c r="H716"/>
      <c r="I716"/>
    </row>
    <row r="717" spans="1:9" x14ac:dyDescent="0.35">
      <c r="A717" s="71">
        <f t="shared" si="23"/>
        <v>144418.59999999998</v>
      </c>
      <c r="B717" s="72">
        <f t="shared" si="22"/>
        <v>71295</v>
      </c>
      <c r="C717" s="70">
        <v>716</v>
      </c>
      <c r="D717" s="65">
        <v>71950</v>
      </c>
      <c r="E717" s="66">
        <v>655</v>
      </c>
      <c r="F717" s="85">
        <v>45538</v>
      </c>
      <c r="G717" s="64" t="s">
        <v>405</v>
      </c>
      <c r="H717"/>
      <c r="I717"/>
    </row>
    <row r="718" spans="1:9" x14ac:dyDescent="0.35">
      <c r="A718" s="71">
        <f t="shared" si="23"/>
        <v>144218.59999999998</v>
      </c>
      <c r="B718" s="72">
        <f t="shared" si="22"/>
        <v>-200</v>
      </c>
      <c r="C718" s="70">
        <v>717</v>
      </c>
      <c r="E718" s="66">
        <v>200</v>
      </c>
      <c r="F718" s="85">
        <v>45538</v>
      </c>
      <c r="G718" s="64" t="s">
        <v>141</v>
      </c>
      <c r="H718"/>
      <c r="I718"/>
    </row>
    <row r="719" spans="1:9" x14ac:dyDescent="0.35">
      <c r="A719" s="71">
        <f t="shared" si="23"/>
        <v>142198.59999999998</v>
      </c>
      <c r="B719" s="72">
        <f t="shared" si="22"/>
        <v>-2020</v>
      </c>
      <c r="C719" s="70">
        <v>718</v>
      </c>
      <c r="E719" s="66">
        <v>2020</v>
      </c>
      <c r="F719" s="85">
        <v>45538</v>
      </c>
      <c r="G719" s="64" t="s">
        <v>407</v>
      </c>
      <c r="H719"/>
      <c r="I719"/>
    </row>
    <row r="720" spans="1:9" x14ac:dyDescent="0.35">
      <c r="A720" s="71">
        <f t="shared" si="23"/>
        <v>142158.59999999998</v>
      </c>
      <c r="B720" s="72">
        <f t="shared" si="22"/>
        <v>-40</v>
      </c>
      <c r="C720" s="70">
        <v>719</v>
      </c>
      <c r="E720" s="66">
        <v>40</v>
      </c>
      <c r="F720" s="85">
        <v>45538</v>
      </c>
      <c r="G720" s="64" t="s">
        <v>408</v>
      </c>
      <c r="H720"/>
      <c r="I720"/>
    </row>
    <row r="721" spans="1:9" x14ac:dyDescent="0.35">
      <c r="A721" s="71">
        <f t="shared" si="23"/>
        <v>165958.59999999998</v>
      </c>
      <c r="B721" s="72">
        <f t="shared" si="22"/>
        <v>23800</v>
      </c>
      <c r="C721" s="70">
        <v>720</v>
      </c>
      <c r="D721" s="65">
        <v>23920</v>
      </c>
      <c r="E721" s="66">
        <v>120</v>
      </c>
      <c r="F721" s="85">
        <v>45539</v>
      </c>
      <c r="G721" s="64" t="s">
        <v>25</v>
      </c>
      <c r="H721"/>
      <c r="I721"/>
    </row>
    <row r="722" spans="1:9" x14ac:dyDescent="0.35">
      <c r="A722" s="71">
        <f t="shared" si="23"/>
        <v>165958.59999999998</v>
      </c>
      <c r="B722" s="72">
        <f t="shared" si="22"/>
        <v>0</v>
      </c>
      <c r="C722" s="70">
        <v>721</v>
      </c>
      <c r="D722" s="65">
        <v>20000</v>
      </c>
      <c r="E722" s="66">
        <v>20000</v>
      </c>
      <c r="F722" s="85">
        <v>45539</v>
      </c>
      <c r="G722" s="64" t="s">
        <v>518</v>
      </c>
      <c r="H722"/>
      <c r="I722"/>
    </row>
    <row r="723" spans="1:9" x14ac:dyDescent="0.35">
      <c r="A723" s="71">
        <f t="shared" si="23"/>
        <v>148458.59999999998</v>
      </c>
      <c r="B723" s="72">
        <f t="shared" si="22"/>
        <v>-17500</v>
      </c>
      <c r="C723" s="70">
        <v>722</v>
      </c>
      <c r="E723" s="66">
        <v>17500</v>
      </c>
      <c r="F723" s="85">
        <v>45539</v>
      </c>
      <c r="G723" s="64" t="s">
        <v>17</v>
      </c>
      <c r="H723"/>
      <c r="I723"/>
    </row>
    <row r="724" spans="1:9" x14ac:dyDescent="0.35">
      <c r="A724" s="71">
        <f t="shared" si="23"/>
        <v>148198.59999999998</v>
      </c>
      <c r="B724" s="72">
        <f t="shared" si="22"/>
        <v>-260</v>
      </c>
      <c r="C724" s="70">
        <v>723</v>
      </c>
      <c r="E724" s="66">
        <v>260</v>
      </c>
      <c r="F724" s="85">
        <v>45540</v>
      </c>
      <c r="G724" s="64" t="s">
        <v>302</v>
      </c>
      <c r="H724"/>
      <c r="I724"/>
    </row>
    <row r="725" spans="1:9" x14ac:dyDescent="0.35">
      <c r="A725" s="71">
        <f t="shared" si="23"/>
        <v>148198.59999999998</v>
      </c>
      <c r="B725" s="72">
        <f t="shared" si="22"/>
        <v>0</v>
      </c>
      <c r="C725" s="70">
        <v>724</v>
      </c>
      <c r="D725" s="65">
        <v>60</v>
      </c>
      <c r="E725" s="66">
        <v>60</v>
      </c>
      <c r="F725" s="85">
        <v>45540</v>
      </c>
      <c r="G725" s="64" t="s">
        <v>410</v>
      </c>
      <c r="H725"/>
      <c r="I725"/>
    </row>
    <row r="726" spans="1:9" x14ac:dyDescent="0.35">
      <c r="A726" s="71">
        <f t="shared" si="23"/>
        <v>142898.59999999998</v>
      </c>
      <c r="B726" s="72">
        <f t="shared" si="22"/>
        <v>-5300</v>
      </c>
      <c r="C726" s="70">
        <v>725</v>
      </c>
      <c r="E726" s="66">
        <v>5300</v>
      </c>
      <c r="F726" s="85">
        <v>45540</v>
      </c>
      <c r="G726" s="64" t="s">
        <v>417</v>
      </c>
      <c r="H726"/>
      <c r="I726"/>
    </row>
    <row r="727" spans="1:9" x14ac:dyDescent="0.35">
      <c r="A727" s="71">
        <f t="shared" si="23"/>
        <v>141353.59999999998</v>
      </c>
      <c r="B727" s="72">
        <f t="shared" si="22"/>
        <v>-1545</v>
      </c>
      <c r="C727" s="70">
        <v>726</v>
      </c>
      <c r="E727" s="66">
        <v>1545</v>
      </c>
      <c r="F727" s="85">
        <v>45540</v>
      </c>
      <c r="G727" s="64" t="s">
        <v>418</v>
      </c>
      <c r="H727"/>
      <c r="I727"/>
    </row>
    <row r="728" spans="1:9" x14ac:dyDescent="0.35">
      <c r="A728" s="71">
        <f t="shared" si="23"/>
        <v>142728.59999999998</v>
      </c>
      <c r="B728" s="72">
        <f t="shared" si="22"/>
        <v>1375</v>
      </c>
      <c r="C728" s="70">
        <v>727</v>
      </c>
      <c r="D728" s="65">
        <v>1460</v>
      </c>
      <c r="E728" s="66">
        <v>85</v>
      </c>
      <c r="F728" s="85">
        <v>45540</v>
      </c>
      <c r="G728" s="64" t="s">
        <v>412</v>
      </c>
      <c r="H728"/>
      <c r="I728"/>
    </row>
    <row r="729" spans="1:9" x14ac:dyDescent="0.35">
      <c r="A729" s="71">
        <f t="shared" si="23"/>
        <v>142578.59999999998</v>
      </c>
      <c r="B729" s="72">
        <f t="shared" si="22"/>
        <v>-150</v>
      </c>
      <c r="C729" s="70">
        <v>728</v>
      </c>
      <c r="E729" s="66">
        <v>150</v>
      </c>
      <c r="F729" s="85">
        <v>45540</v>
      </c>
      <c r="G729" s="64" t="s">
        <v>411</v>
      </c>
      <c r="H729"/>
      <c r="I729"/>
    </row>
    <row r="730" spans="1:9" x14ac:dyDescent="0.35">
      <c r="A730" s="71">
        <f t="shared" si="23"/>
        <v>150088.59999999998</v>
      </c>
      <c r="B730" s="72">
        <f t="shared" si="22"/>
        <v>7510</v>
      </c>
      <c r="C730" s="70">
        <v>729</v>
      </c>
      <c r="D730" s="65">
        <v>7510</v>
      </c>
      <c r="F730" s="85">
        <v>45542</v>
      </c>
      <c r="G730" s="64" t="s">
        <v>12</v>
      </c>
      <c r="H730"/>
      <c r="I730"/>
    </row>
    <row r="731" spans="1:9" x14ac:dyDescent="0.35">
      <c r="A731" s="71">
        <f t="shared" si="23"/>
        <v>149888.59999999998</v>
      </c>
      <c r="B731" s="72">
        <f t="shared" si="22"/>
        <v>-200</v>
      </c>
      <c r="C731" s="70">
        <v>730</v>
      </c>
      <c r="E731" s="66">
        <v>200</v>
      </c>
      <c r="F731" s="85">
        <v>45542</v>
      </c>
      <c r="G731" s="64" t="s">
        <v>50</v>
      </c>
      <c r="H731"/>
      <c r="I731"/>
    </row>
    <row r="732" spans="1:9" x14ac:dyDescent="0.35">
      <c r="A732" s="71">
        <f t="shared" si="23"/>
        <v>182184.59999999998</v>
      </c>
      <c r="B732" s="72">
        <f t="shared" si="22"/>
        <v>32296</v>
      </c>
      <c r="C732" s="70">
        <v>731</v>
      </c>
      <c r="D732" s="65">
        <v>32296</v>
      </c>
      <c r="F732" s="85">
        <v>45543</v>
      </c>
      <c r="G732" s="64" t="s">
        <v>12</v>
      </c>
      <c r="H732"/>
      <c r="I732"/>
    </row>
    <row r="733" spans="1:9" x14ac:dyDescent="0.35">
      <c r="A733" s="71">
        <f t="shared" si="23"/>
        <v>182084.59999999998</v>
      </c>
      <c r="B733" s="72">
        <f t="shared" si="22"/>
        <v>-100</v>
      </c>
      <c r="C733" s="70">
        <v>732</v>
      </c>
      <c r="E733" s="66">
        <v>100</v>
      </c>
      <c r="F733" s="85">
        <v>45543</v>
      </c>
      <c r="G733" s="64" t="s">
        <v>508</v>
      </c>
      <c r="H733"/>
      <c r="I733"/>
    </row>
    <row r="734" spans="1:9" x14ac:dyDescent="0.35">
      <c r="A734" s="71">
        <f t="shared" si="23"/>
        <v>181634.59999999998</v>
      </c>
      <c r="B734" s="72">
        <f t="shared" si="22"/>
        <v>-450</v>
      </c>
      <c r="C734" s="70">
        <v>733</v>
      </c>
      <c r="E734" s="66">
        <v>450</v>
      </c>
      <c r="F734" s="85">
        <v>45543</v>
      </c>
      <c r="G734" s="64" t="s">
        <v>413</v>
      </c>
      <c r="H734"/>
      <c r="I734"/>
    </row>
    <row r="735" spans="1:9" x14ac:dyDescent="0.35">
      <c r="A735" s="71">
        <f t="shared" si="23"/>
        <v>181334.59999999998</v>
      </c>
      <c r="B735" s="72">
        <f t="shared" si="22"/>
        <v>-300</v>
      </c>
      <c r="C735" s="70">
        <v>734</v>
      </c>
      <c r="E735" s="66">
        <v>300</v>
      </c>
      <c r="F735" s="85">
        <v>45544</v>
      </c>
      <c r="G735" s="64" t="s">
        <v>421</v>
      </c>
      <c r="H735"/>
      <c r="I735"/>
    </row>
    <row r="736" spans="1:9" x14ac:dyDescent="0.35">
      <c r="A736" s="71">
        <f t="shared" si="23"/>
        <v>189984.59999999998</v>
      </c>
      <c r="B736" s="72">
        <f t="shared" si="22"/>
        <v>8650</v>
      </c>
      <c r="C736" s="70">
        <v>735</v>
      </c>
      <c r="D736" s="65">
        <v>8770</v>
      </c>
      <c r="E736" s="66">
        <v>120</v>
      </c>
      <c r="F736" s="85">
        <v>45544</v>
      </c>
      <c r="G736" s="64" t="s">
        <v>80</v>
      </c>
      <c r="H736"/>
      <c r="I736"/>
    </row>
    <row r="737" spans="1:9" x14ac:dyDescent="0.35">
      <c r="A737" s="71">
        <f t="shared" si="23"/>
        <v>187484.59999999998</v>
      </c>
      <c r="B737" s="72">
        <f t="shared" si="22"/>
        <v>-2500</v>
      </c>
      <c r="C737" s="70">
        <v>736</v>
      </c>
      <c r="E737" s="66">
        <v>2500</v>
      </c>
      <c r="F737" s="85">
        <v>45544</v>
      </c>
      <c r="G737" s="64" t="s">
        <v>414</v>
      </c>
      <c r="H737"/>
      <c r="I737"/>
    </row>
    <row r="738" spans="1:9" x14ac:dyDescent="0.35">
      <c r="A738" s="71">
        <f t="shared" si="23"/>
        <v>187424.59999999998</v>
      </c>
      <c r="B738" s="72">
        <f t="shared" si="22"/>
        <v>-60</v>
      </c>
      <c r="C738" s="70">
        <v>737</v>
      </c>
      <c r="E738" s="66">
        <v>60</v>
      </c>
      <c r="F738" s="85">
        <v>45544</v>
      </c>
      <c r="G738" s="64" t="s">
        <v>31</v>
      </c>
      <c r="H738"/>
      <c r="I738"/>
    </row>
    <row r="739" spans="1:9" x14ac:dyDescent="0.35">
      <c r="A739" s="71">
        <f t="shared" si="23"/>
        <v>187404.59999999998</v>
      </c>
      <c r="B739" s="72">
        <f t="shared" si="22"/>
        <v>-20</v>
      </c>
      <c r="C739" s="70">
        <v>738</v>
      </c>
      <c r="E739" s="66">
        <v>20</v>
      </c>
      <c r="F739" s="85">
        <v>45544</v>
      </c>
      <c r="G739" s="64" t="s">
        <v>296</v>
      </c>
      <c r="H739"/>
      <c r="I739"/>
    </row>
    <row r="740" spans="1:9" x14ac:dyDescent="0.35">
      <c r="A740" s="71">
        <f t="shared" si="23"/>
        <v>185404.59999999998</v>
      </c>
      <c r="B740" s="72">
        <f t="shared" si="22"/>
        <v>-2000</v>
      </c>
      <c r="C740" s="70">
        <v>739</v>
      </c>
      <c r="E740" s="66">
        <v>2000</v>
      </c>
      <c r="F740" s="85">
        <v>45544</v>
      </c>
      <c r="G740" s="64" t="s">
        <v>64</v>
      </c>
      <c r="H740"/>
      <c r="I740"/>
    </row>
    <row r="741" spans="1:9" x14ac:dyDescent="0.35">
      <c r="A741" s="71">
        <f t="shared" si="23"/>
        <v>147545.59999999998</v>
      </c>
      <c r="B741" s="72">
        <f t="shared" si="22"/>
        <v>-37859</v>
      </c>
      <c r="C741" s="70">
        <v>740</v>
      </c>
      <c r="E741" s="66">
        <v>37859</v>
      </c>
      <c r="F741" s="85">
        <v>45545</v>
      </c>
      <c r="G741" s="64" t="s">
        <v>18</v>
      </c>
      <c r="H741"/>
      <c r="I741"/>
    </row>
    <row r="742" spans="1:9" x14ac:dyDescent="0.35">
      <c r="A742" s="71">
        <f t="shared" si="23"/>
        <v>133145.59999999998</v>
      </c>
      <c r="B742" s="72">
        <f t="shared" si="22"/>
        <v>-14400</v>
      </c>
      <c r="C742" s="70">
        <v>741</v>
      </c>
      <c r="E742" s="66">
        <v>14400</v>
      </c>
      <c r="F742" s="85">
        <v>45545</v>
      </c>
      <c r="G742" s="64" t="s">
        <v>415</v>
      </c>
      <c r="H742"/>
      <c r="I742"/>
    </row>
    <row r="743" spans="1:9" x14ac:dyDescent="0.35">
      <c r="A743" s="71">
        <f t="shared" si="23"/>
        <v>133071.59999999998</v>
      </c>
      <c r="B743" s="72">
        <f t="shared" si="22"/>
        <v>-74</v>
      </c>
      <c r="C743" s="70">
        <v>742</v>
      </c>
      <c r="E743" s="66">
        <v>74</v>
      </c>
      <c r="F743" s="85">
        <v>45545</v>
      </c>
      <c r="G743" s="64" t="s">
        <v>416</v>
      </c>
      <c r="H743"/>
      <c r="I743"/>
    </row>
    <row r="744" spans="1:9" x14ac:dyDescent="0.35">
      <c r="A744" s="71">
        <f t="shared" si="23"/>
        <v>168991.59999999998</v>
      </c>
      <c r="B744" s="72">
        <f t="shared" si="22"/>
        <v>35920</v>
      </c>
      <c r="C744" s="70">
        <v>743</v>
      </c>
      <c r="D744" s="65">
        <v>36170</v>
      </c>
      <c r="E744" s="66">
        <v>250</v>
      </c>
      <c r="F744" s="85">
        <v>45545</v>
      </c>
      <c r="G744" s="64" t="s">
        <v>419</v>
      </c>
      <c r="H744"/>
      <c r="I744"/>
    </row>
    <row r="745" spans="1:9" x14ac:dyDescent="0.35">
      <c r="A745" s="71">
        <f t="shared" si="23"/>
        <v>168474.59999999998</v>
      </c>
      <c r="B745" s="72">
        <f t="shared" si="22"/>
        <v>-517</v>
      </c>
      <c r="C745" s="70">
        <v>744</v>
      </c>
      <c r="E745" s="66">
        <v>517</v>
      </c>
      <c r="F745" s="85">
        <v>45545</v>
      </c>
      <c r="G745" s="64" t="s">
        <v>48</v>
      </c>
      <c r="H745"/>
      <c r="I745"/>
    </row>
    <row r="746" spans="1:9" x14ac:dyDescent="0.35">
      <c r="A746" s="71">
        <f t="shared" si="23"/>
        <v>166174.59999999998</v>
      </c>
      <c r="B746" s="72">
        <f t="shared" si="22"/>
        <v>-2300</v>
      </c>
      <c r="C746" s="70">
        <v>745</v>
      </c>
      <c r="E746" s="66">
        <v>2300</v>
      </c>
      <c r="F746" s="85">
        <v>45545</v>
      </c>
      <c r="G746" s="64" t="s">
        <v>420</v>
      </c>
      <c r="H746"/>
      <c r="I746"/>
    </row>
    <row r="747" spans="1:9" x14ac:dyDescent="0.35">
      <c r="A747" s="71">
        <f t="shared" si="23"/>
        <v>166174.59999999998</v>
      </c>
      <c r="B747" s="72">
        <f t="shared" si="22"/>
        <v>0</v>
      </c>
      <c r="C747" s="70">
        <v>746</v>
      </c>
      <c r="D747" s="65">
        <v>20000</v>
      </c>
      <c r="E747" s="66">
        <v>20000</v>
      </c>
      <c r="F747" s="85">
        <v>45545</v>
      </c>
      <c r="G747" s="64" t="s">
        <v>517</v>
      </c>
      <c r="H747"/>
      <c r="I747"/>
    </row>
    <row r="748" spans="1:9" x14ac:dyDescent="0.35">
      <c r="A748" s="71">
        <f t="shared" si="23"/>
        <v>166174.59999999998</v>
      </c>
      <c r="B748" s="72">
        <f t="shared" si="22"/>
        <v>0</v>
      </c>
      <c r="C748" s="70">
        <v>747</v>
      </c>
      <c r="D748" s="65">
        <v>2000</v>
      </c>
      <c r="E748" s="66">
        <v>2000</v>
      </c>
      <c r="F748" s="85">
        <v>45545</v>
      </c>
      <c r="G748" s="64" t="s">
        <v>516</v>
      </c>
      <c r="H748"/>
      <c r="I748"/>
    </row>
    <row r="749" spans="1:9" x14ac:dyDescent="0.35">
      <c r="A749" s="71">
        <f t="shared" si="23"/>
        <v>165424.59999999998</v>
      </c>
      <c r="B749" s="72">
        <f t="shared" si="22"/>
        <v>-750</v>
      </c>
      <c r="C749" s="70">
        <v>748</v>
      </c>
      <c r="E749" s="66">
        <v>750</v>
      </c>
      <c r="F749" s="85">
        <v>45545</v>
      </c>
      <c r="G749" s="64" t="s">
        <v>423</v>
      </c>
      <c r="H749"/>
      <c r="I749"/>
    </row>
    <row r="750" spans="1:9" x14ac:dyDescent="0.35">
      <c r="A750" s="71">
        <f t="shared" si="23"/>
        <v>165364.59999999998</v>
      </c>
      <c r="B750" s="72">
        <f t="shared" si="22"/>
        <v>-60</v>
      </c>
      <c r="C750" s="70">
        <v>749</v>
      </c>
      <c r="E750" s="66">
        <v>60</v>
      </c>
      <c r="F750" s="85">
        <v>45545</v>
      </c>
      <c r="G750" s="64" t="s">
        <v>127</v>
      </c>
      <c r="H750"/>
      <c r="I750"/>
    </row>
    <row r="751" spans="1:9" x14ac:dyDescent="0.35">
      <c r="A751" s="71">
        <f t="shared" si="23"/>
        <v>182909.59999999998</v>
      </c>
      <c r="B751" s="72">
        <f t="shared" si="22"/>
        <v>17545</v>
      </c>
      <c r="C751" s="70">
        <v>750</v>
      </c>
      <c r="D751" s="65">
        <v>17590</v>
      </c>
      <c r="E751" s="66">
        <v>45</v>
      </c>
      <c r="F751" s="85">
        <v>45546</v>
      </c>
      <c r="G751" s="64" t="s">
        <v>422</v>
      </c>
      <c r="H751"/>
      <c r="I751"/>
    </row>
    <row r="752" spans="1:9" x14ac:dyDescent="0.35">
      <c r="A752" s="71">
        <f t="shared" si="23"/>
        <v>182869.59999999998</v>
      </c>
      <c r="B752" s="72">
        <f t="shared" si="22"/>
        <v>-40</v>
      </c>
      <c r="C752" s="70">
        <v>751</v>
      </c>
      <c r="E752" s="66">
        <v>40</v>
      </c>
      <c r="F752" s="85">
        <v>45546</v>
      </c>
      <c r="G752" s="64" t="s">
        <v>424</v>
      </c>
      <c r="H752"/>
      <c r="I752"/>
    </row>
    <row r="753" spans="1:9" x14ac:dyDescent="0.35">
      <c r="A753" s="71">
        <f t="shared" si="23"/>
        <v>182219.59999999998</v>
      </c>
      <c r="B753" s="72">
        <f t="shared" si="22"/>
        <v>-650</v>
      </c>
      <c r="C753" s="70">
        <v>752</v>
      </c>
      <c r="E753" s="66">
        <v>650</v>
      </c>
      <c r="F753" s="85">
        <v>45546</v>
      </c>
      <c r="G753" s="64" t="s">
        <v>252</v>
      </c>
      <c r="H753"/>
      <c r="I753"/>
    </row>
    <row r="754" spans="1:9" x14ac:dyDescent="0.35">
      <c r="A754" s="71">
        <f t="shared" si="23"/>
        <v>181219.59999999998</v>
      </c>
      <c r="B754" s="72">
        <f t="shared" si="22"/>
        <v>-1000</v>
      </c>
      <c r="C754" s="70">
        <v>753</v>
      </c>
      <c r="E754" s="66">
        <v>1000</v>
      </c>
      <c r="F754" s="85">
        <v>45546</v>
      </c>
      <c r="G754" s="64" t="s">
        <v>426</v>
      </c>
      <c r="H754"/>
      <c r="I754"/>
    </row>
    <row r="755" spans="1:9" x14ac:dyDescent="0.35">
      <c r="A755" s="71">
        <f t="shared" si="23"/>
        <v>181219.59999999998</v>
      </c>
      <c r="B755" s="72">
        <f t="shared" si="22"/>
        <v>0</v>
      </c>
      <c r="C755" s="70">
        <v>754</v>
      </c>
      <c r="D755" s="65">
        <v>500</v>
      </c>
      <c r="E755" s="66">
        <v>500</v>
      </c>
      <c r="F755" s="85">
        <v>45546</v>
      </c>
      <c r="G755" s="64" t="s">
        <v>515</v>
      </c>
      <c r="H755"/>
      <c r="I755"/>
    </row>
    <row r="756" spans="1:9" x14ac:dyDescent="0.35">
      <c r="A756" s="71">
        <f t="shared" si="23"/>
        <v>177619.59999999998</v>
      </c>
      <c r="B756" s="72">
        <f t="shared" si="22"/>
        <v>-3600</v>
      </c>
      <c r="C756" s="70">
        <v>755</v>
      </c>
      <c r="E756" s="66">
        <v>3600</v>
      </c>
      <c r="F756" s="85">
        <v>45546</v>
      </c>
      <c r="G756" s="64" t="s">
        <v>174</v>
      </c>
      <c r="H756"/>
      <c r="I756"/>
    </row>
    <row r="757" spans="1:9" x14ac:dyDescent="0.35">
      <c r="A757" s="71">
        <f t="shared" si="23"/>
        <v>177559.59999999998</v>
      </c>
      <c r="B757" s="72">
        <f t="shared" si="22"/>
        <v>-60</v>
      </c>
      <c r="C757" s="70">
        <v>756</v>
      </c>
      <c r="E757" s="66">
        <v>60</v>
      </c>
      <c r="F757" s="85">
        <v>45546</v>
      </c>
      <c r="G757" s="64" t="s">
        <v>427</v>
      </c>
      <c r="H757"/>
      <c r="I757"/>
    </row>
    <row r="758" spans="1:9" x14ac:dyDescent="0.35">
      <c r="A758" s="71">
        <f t="shared" si="23"/>
        <v>177532.59999999998</v>
      </c>
      <c r="B758" s="72">
        <f t="shared" si="22"/>
        <v>-27</v>
      </c>
      <c r="C758" s="70">
        <v>757</v>
      </c>
      <c r="E758" s="66">
        <v>27</v>
      </c>
      <c r="F758" s="85">
        <v>45546</v>
      </c>
      <c r="G758" s="64" t="s">
        <v>428</v>
      </c>
      <c r="H758"/>
      <c r="I758"/>
    </row>
    <row r="759" spans="1:9" x14ac:dyDescent="0.35">
      <c r="A759" s="71">
        <f t="shared" si="23"/>
        <v>177177.59999999998</v>
      </c>
      <c r="B759" s="72">
        <f t="shared" si="22"/>
        <v>-355</v>
      </c>
      <c r="C759" s="70">
        <v>758</v>
      </c>
      <c r="E759" s="66">
        <v>355</v>
      </c>
      <c r="F759" s="85">
        <v>45546</v>
      </c>
      <c r="G759" s="64" t="s">
        <v>371</v>
      </c>
      <c r="H759"/>
      <c r="I759"/>
    </row>
    <row r="760" spans="1:9" x14ac:dyDescent="0.35">
      <c r="A760" s="71">
        <f t="shared" si="23"/>
        <v>177027.59999999998</v>
      </c>
      <c r="B760" s="72">
        <f t="shared" si="22"/>
        <v>-150</v>
      </c>
      <c r="C760" s="70">
        <v>759</v>
      </c>
      <c r="E760" s="66">
        <v>150</v>
      </c>
      <c r="F760" s="85">
        <v>45546</v>
      </c>
      <c r="G760" s="64" t="s">
        <v>430</v>
      </c>
      <c r="H760"/>
      <c r="I760"/>
    </row>
    <row r="761" spans="1:9" x14ac:dyDescent="0.35">
      <c r="A761" s="71">
        <f t="shared" si="23"/>
        <v>177067.59999999998</v>
      </c>
      <c r="B761" s="72">
        <f t="shared" si="22"/>
        <v>40</v>
      </c>
      <c r="C761" s="70">
        <v>760</v>
      </c>
      <c r="D761" s="65">
        <v>40</v>
      </c>
      <c r="F761" s="85">
        <v>45547</v>
      </c>
      <c r="G761" s="64" t="s">
        <v>326</v>
      </c>
      <c r="H761"/>
      <c r="I761"/>
    </row>
    <row r="762" spans="1:9" x14ac:dyDescent="0.35">
      <c r="A762" s="71">
        <f t="shared" si="23"/>
        <v>176967.59999999998</v>
      </c>
      <c r="B762" s="72">
        <f t="shared" si="22"/>
        <v>-100</v>
      </c>
      <c r="C762" s="70">
        <v>761</v>
      </c>
      <c r="E762" s="66">
        <v>100</v>
      </c>
      <c r="F762" s="85">
        <v>45547</v>
      </c>
      <c r="G762" s="64" t="s">
        <v>443</v>
      </c>
      <c r="H762"/>
      <c r="I762"/>
    </row>
    <row r="763" spans="1:9" x14ac:dyDescent="0.35">
      <c r="A763" s="71">
        <f t="shared" si="23"/>
        <v>176887.59999999998</v>
      </c>
      <c r="B763" s="72">
        <f t="shared" si="22"/>
        <v>-80</v>
      </c>
      <c r="C763" s="70">
        <v>762</v>
      </c>
      <c r="E763" s="66">
        <v>80</v>
      </c>
      <c r="F763" s="85">
        <v>45547</v>
      </c>
      <c r="G763" s="64" t="s">
        <v>50</v>
      </c>
      <c r="H763"/>
      <c r="I763"/>
    </row>
    <row r="764" spans="1:9" x14ac:dyDescent="0.35">
      <c r="A764" s="71">
        <f t="shared" si="23"/>
        <v>178887.59999999998</v>
      </c>
      <c r="B764" s="72">
        <f t="shared" si="22"/>
        <v>2000</v>
      </c>
      <c r="C764" s="70">
        <v>763</v>
      </c>
      <c r="D764" s="65">
        <v>2750</v>
      </c>
      <c r="E764" s="66">
        <v>750</v>
      </c>
      <c r="F764" s="85">
        <v>45547</v>
      </c>
      <c r="G764" s="64" t="s">
        <v>442</v>
      </c>
      <c r="H764"/>
      <c r="I764"/>
    </row>
    <row r="765" spans="1:9" x14ac:dyDescent="0.35">
      <c r="A765" s="71">
        <f t="shared" si="23"/>
        <v>178827.59999999998</v>
      </c>
      <c r="B765" s="72">
        <f t="shared" si="22"/>
        <v>-60</v>
      </c>
      <c r="C765" s="70">
        <v>764</v>
      </c>
      <c r="E765" s="66">
        <v>60</v>
      </c>
      <c r="F765" s="85">
        <v>45547</v>
      </c>
      <c r="G765" s="64" t="s">
        <v>136</v>
      </c>
      <c r="H765"/>
      <c r="I765"/>
    </row>
    <row r="766" spans="1:9" x14ac:dyDescent="0.35">
      <c r="A766" s="71">
        <f t="shared" si="23"/>
        <v>188837.59999999998</v>
      </c>
      <c r="B766" s="72">
        <f t="shared" si="22"/>
        <v>10010</v>
      </c>
      <c r="C766" s="70">
        <v>765</v>
      </c>
      <c r="D766" s="65">
        <v>10110</v>
      </c>
      <c r="E766" s="66">
        <v>100</v>
      </c>
      <c r="F766" s="85">
        <v>45549</v>
      </c>
      <c r="G766" s="64" t="s">
        <v>509</v>
      </c>
      <c r="H766"/>
      <c r="I766"/>
    </row>
    <row r="767" spans="1:9" x14ac:dyDescent="0.35">
      <c r="A767" s="71">
        <f t="shared" si="23"/>
        <v>188777.59999999998</v>
      </c>
      <c r="B767" s="72">
        <f t="shared" si="22"/>
        <v>-60</v>
      </c>
      <c r="C767" s="70">
        <v>766</v>
      </c>
      <c r="E767" s="66">
        <v>60</v>
      </c>
      <c r="F767" s="85">
        <v>45549</v>
      </c>
      <c r="G767" s="64" t="s">
        <v>113</v>
      </c>
      <c r="H767"/>
      <c r="I767"/>
    </row>
    <row r="768" spans="1:9" x14ac:dyDescent="0.35">
      <c r="A768" s="71">
        <f t="shared" si="23"/>
        <v>188667.59999999998</v>
      </c>
      <c r="B768" s="72">
        <f t="shared" si="22"/>
        <v>-110</v>
      </c>
      <c r="C768" s="70">
        <v>767</v>
      </c>
      <c r="E768" s="66">
        <v>110</v>
      </c>
      <c r="F768" s="85">
        <v>45549</v>
      </c>
      <c r="G768" s="64" t="s">
        <v>431</v>
      </c>
      <c r="H768"/>
      <c r="I768"/>
    </row>
    <row r="769" spans="1:9" x14ac:dyDescent="0.35">
      <c r="A769" s="71">
        <f t="shared" si="23"/>
        <v>188667.59999999998</v>
      </c>
      <c r="B769" s="72">
        <f t="shared" si="22"/>
        <v>0</v>
      </c>
      <c r="C769" s="70">
        <v>768</v>
      </c>
      <c r="D769" s="65">
        <v>200</v>
      </c>
      <c r="E769" s="66">
        <v>200</v>
      </c>
      <c r="F769" s="85">
        <v>45549</v>
      </c>
      <c r="G769" s="64" t="s">
        <v>514</v>
      </c>
      <c r="H769"/>
      <c r="I769"/>
    </row>
    <row r="770" spans="1:9" x14ac:dyDescent="0.35">
      <c r="A770" s="71">
        <f t="shared" si="23"/>
        <v>180667.59999999998</v>
      </c>
      <c r="B770" s="72">
        <f t="shared" si="22"/>
        <v>-8000</v>
      </c>
      <c r="C770" s="70">
        <v>769</v>
      </c>
      <c r="E770" s="66">
        <v>8000</v>
      </c>
      <c r="F770" s="85">
        <v>45550</v>
      </c>
      <c r="G770" s="64" t="s">
        <v>433</v>
      </c>
      <c r="H770"/>
      <c r="I770"/>
    </row>
    <row r="771" spans="1:9" x14ac:dyDescent="0.35">
      <c r="A771" s="71">
        <f t="shared" si="23"/>
        <v>215766.59999999998</v>
      </c>
      <c r="B771" s="72">
        <f t="shared" ref="B771:B834" si="24">SUM(D771-E771)</f>
        <v>35099</v>
      </c>
      <c r="C771" s="70">
        <v>770</v>
      </c>
      <c r="D771" s="65">
        <v>35115</v>
      </c>
      <c r="E771" s="66">
        <v>16</v>
      </c>
      <c r="F771" s="85">
        <v>45550</v>
      </c>
      <c r="G771" s="64" t="s">
        <v>432</v>
      </c>
      <c r="H771"/>
      <c r="I771"/>
    </row>
    <row r="772" spans="1:9" x14ac:dyDescent="0.35">
      <c r="A772" s="71">
        <f t="shared" ref="A772:A835" si="25">SUM(A771+B772)</f>
        <v>211766.59999999998</v>
      </c>
      <c r="B772" s="72">
        <f t="shared" si="24"/>
        <v>-4000</v>
      </c>
      <c r="C772" s="70">
        <v>771</v>
      </c>
      <c r="E772" s="66">
        <v>4000</v>
      </c>
      <c r="F772" s="85">
        <v>45551</v>
      </c>
      <c r="G772" s="64" t="s">
        <v>434</v>
      </c>
      <c r="H772"/>
      <c r="I772"/>
    </row>
    <row r="773" spans="1:9" x14ac:dyDescent="0.35">
      <c r="A773" s="71">
        <f t="shared" si="25"/>
        <v>220056.59999999998</v>
      </c>
      <c r="B773" s="72">
        <f t="shared" si="24"/>
        <v>8290</v>
      </c>
      <c r="C773" s="70">
        <v>772</v>
      </c>
      <c r="D773" s="65">
        <v>8350</v>
      </c>
      <c r="E773" s="66">
        <v>60</v>
      </c>
      <c r="F773" s="85">
        <v>45551</v>
      </c>
      <c r="G773" s="64" t="s">
        <v>140</v>
      </c>
      <c r="H773"/>
      <c r="I773"/>
    </row>
    <row r="774" spans="1:9" x14ac:dyDescent="0.35">
      <c r="A774" s="71">
        <f t="shared" si="25"/>
        <v>220036.59999999998</v>
      </c>
      <c r="B774" s="72">
        <f t="shared" si="24"/>
        <v>-20</v>
      </c>
      <c r="C774" s="70">
        <v>773</v>
      </c>
      <c r="E774" s="66">
        <v>20</v>
      </c>
      <c r="F774" s="85">
        <v>45551</v>
      </c>
      <c r="G774" s="64" t="s">
        <v>243</v>
      </c>
      <c r="H774"/>
      <c r="I774"/>
    </row>
    <row r="775" spans="1:9" x14ac:dyDescent="0.35">
      <c r="A775" s="71">
        <f t="shared" si="25"/>
        <v>219786.59999999998</v>
      </c>
      <c r="B775" s="72">
        <f t="shared" si="24"/>
        <v>-250</v>
      </c>
      <c r="C775" s="70">
        <v>774</v>
      </c>
      <c r="E775" s="66">
        <v>250</v>
      </c>
      <c r="F775" s="85">
        <v>45551</v>
      </c>
      <c r="G775" s="64" t="s">
        <v>435</v>
      </c>
      <c r="H775"/>
      <c r="I775"/>
    </row>
    <row r="776" spans="1:9" x14ac:dyDescent="0.35">
      <c r="A776" s="71">
        <f t="shared" si="25"/>
        <v>219786.59999999998</v>
      </c>
      <c r="B776" s="72">
        <f t="shared" si="24"/>
        <v>0</v>
      </c>
      <c r="C776" s="70">
        <v>775</v>
      </c>
      <c r="D776" s="65">
        <v>20000</v>
      </c>
      <c r="E776" s="66">
        <v>20000</v>
      </c>
      <c r="F776" s="85">
        <v>45552</v>
      </c>
      <c r="G776" s="64" t="s">
        <v>519</v>
      </c>
      <c r="H776"/>
      <c r="I776"/>
    </row>
    <row r="777" spans="1:9" x14ac:dyDescent="0.35">
      <c r="A777" s="71">
        <f t="shared" si="25"/>
        <v>219786.59999999998</v>
      </c>
      <c r="B777" s="72">
        <f t="shared" si="24"/>
        <v>0</v>
      </c>
      <c r="C777" s="70">
        <v>776</v>
      </c>
      <c r="D777" s="65">
        <v>200</v>
      </c>
      <c r="E777" s="66">
        <v>200</v>
      </c>
      <c r="F777" s="85">
        <v>45552</v>
      </c>
      <c r="G777" s="64" t="s">
        <v>520</v>
      </c>
      <c r="H777"/>
      <c r="I777"/>
    </row>
    <row r="778" spans="1:9" x14ac:dyDescent="0.35">
      <c r="A778" s="71">
        <f t="shared" si="25"/>
        <v>273041.59999999998</v>
      </c>
      <c r="B778" s="72">
        <f t="shared" si="24"/>
        <v>53255</v>
      </c>
      <c r="C778" s="70">
        <v>777</v>
      </c>
      <c r="D778" s="65">
        <v>53895</v>
      </c>
      <c r="E778" s="66">
        <v>640</v>
      </c>
      <c r="F778" s="85">
        <v>45552</v>
      </c>
      <c r="G778" s="64" t="s">
        <v>75</v>
      </c>
      <c r="H778"/>
      <c r="I778"/>
    </row>
    <row r="779" spans="1:9" x14ac:dyDescent="0.35">
      <c r="A779" s="71">
        <f t="shared" si="25"/>
        <v>272922.59999999998</v>
      </c>
      <c r="B779" s="72">
        <f t="shared" si="24"/>
        <v>-119</v>
      </c>
      <c r="C779" s="70">
        <v>778</v>
      </c>
      <c r="E779" s="66">
        <v>119</v>
      </c>
      <c r="F779" s="85">
        <v>45552</v>
      </c>
      <c r="G779" s="64" t="s">
        <v>65</v>
      </c>
      <c r="H779"/>
      <c r="I779"/>
    </row>
    <row r="780" spans="1:9" x14ac:dyDescent="0.35">
      <c r="A780" s="71">
        <f t="shared" si="25"/>
        <v>272848.59999999998</v>
      </c>
      <c r="B780" s="72">
        <f t="shared" si="24"/>
        <v>-74</v>
      </c>
      <c r="C780" s="70">
        <v>779</v>
      </c>
      <c r="E780" s="66">
        <v>74</v>
      </c>
      <c r="F780" s="85">
        <v>45552</v>
      </c>
      <c r="G780" s="64" t="s">
        <v>436</v>
      </c>
      <c r="H780"/>
      <c r="I780"/>
    </row>
    <row r="781" spans="1:9" x14ac:dyDescent="0.35">
      <c r="A781" s="71">
        <f t="shared" si="25"/>
        <v>272748.59999999998</v>
      </c>
      <c r="B781" s="72">
        <f t="shared" si="24"/>
        <v>-100</v>
      </c>
      <c r="C781" s="70">
        <v>780</v>
      </c>
      <c r="E781" s="66">
        <v>100</v>
      </c>
      <c r="F781" s="85">
        <v>45552</v>
      </c>
      <c r="G781" s="64" t="s">
        <v>441</v>
      </c>
      <c r="H781"/>
      <c r="I781"/>
    </row>
    <row r="782" spans="1:9" x14ac:dyDescent="0.35">
      <c r="A782" s="71">
        <f t="shared" si="25"/>
        <v>272673.59999999998</v>
      </c>
      <c r="B782" s="72">
        <f t="shared" si="24"/>
        <v>-75</v>
      </c>
      <c r="C782" s="70">
        <v>781</v>
      </c>
      <c r="E782" s="66">
        <v>75</v>
      </c>
      <c r="F782" s="85">
        <v>45552</v>
      </c>
      <c r="G782" s="64" t="s">
        <v>437</v>
      </c>
      <c r="H782"/>
      <c r="I782"/>
    </row>
    <row r="783" spans="1:9" x14ac:dyDescent="0.35">
      <c r="A783" s="71">
        <f t="shared" si="25"/>
        <v>269573.59999999998</v>
      </c>
      <c r="B783" s="72">
        <f t="shared" si="24"/>
        <v>-3100</v>
      </c>
      <c r="C783" s="70">
        <v>782</v>
      </c>
      <c r="E783" s="66">
        <v>3100</v>
      </c>
      <c r="F783" s="85">
        <v>45553</v>
      </c>
      <c r="G783" s="64" t="s">
        <v>438</v>
      </c>
      <c r="H783"/>
      <c r="I783"/>
    </row>
    <row r="784" spans="1:9" x14ac:dyDescent="0.35">
      <c r="A784" s="71">
        <f t="shared" si="25"/>
        <v>265973.59999999998</v>
      </c>
      <c r="B784" s="72">
        <f t="shared" si="24"/>
        <v>-3600</v>
      </c>
      <c r="C784" s="70">
        <v>783</v>
      </c>
      <c r="E784" s="66">
        <v>3600</v>
      </c>
      <c r="F784" s="85">
        <v>45553</v>
      </c>
      <c r="G784" s="64" t="s">
        <v>439</v>
      </c>
      <c r="H784"/>
      <c r="I784"/>
    </row>
    <row r="785" spans="1:9" x14ac:dyDescent="0.35">
      <c r="A785" s="71">
        <f t="shared" si="25"/>
        <v>125973.59999999998</v>
      </c>
      <c r="B785" s="72">
        <f t="shared" si="24"/>
        <v>-140000</v>
      </c>
      <c r="C785" s="70">
        <v>784</v>
      </c>
      <c r="E785" s="66">
        <v>140000</v>
      </c>
      <c r="F785" s="85">
        <v>45553</v>
      </c>
      <c r="G785" s="64" t="s">
        <v>306</v>
      </c>
      <c r="H785"/>
      <c r="I785"/>
    </row>
    <row r="786" spans="1:9" x14ac:dyDescent="0.35">
      <c r="A786" s="71">
        <f t="shared" si="25"/>
        <v>125973.59999999998</v>
      </c>
      <c r="B786" s="72">
        <f t="shared" si="24"/>
        <v>0</v>
      </c>
      <c r="C786" s="70">
        <v>785</v>
      </c>
      <c r="D786" s="65">
        <v>1880</v>
      </c>
      <c r="E786" s="66">
        <v>1880</v>
      </c>
      <c r="F786" s="85">
        <v>45553</v>
      </c>
      <c r="G786" s="64" t="s">
        <v>521</v>
      </c>
      <c r="H786"/>
      <c r="I786"/>
    </row>
    <row r="787" spans="1:9" x14ac:dyDescent="0.35">
      <c r="A787" s="71">
        <f t="shared" si="25"/>
        <v>142583.59999999998</v>
      </c>
      <c r="B787" s="72">
        <f t="shared" si="24"/>
        <v>16610</v>
      </c>
      <c r="C787" s="70">
        <v>786</v>
      </c>
      <c r="D787" s="65">
        <v>16670</v>
      </c>
      <c r="E787" s="66">
        <v>60</v>
      </c>
      <c r="F787" s="85">
        <v>45553</v>
      </c>
      <c r="G787" s="64" t="s">
        <v>142</v>
      </c>
      <c r="H787"/>
      <c r="I787"/>
    </row>
    <row r="788" spans="1:9" x14ac:dyDescent="0.35">
      <c r="A788" s="71">
        <f t="shared" si="25"/>
        <v>142483.59999999998</v>
      </c>
      <c r="B788" s="72">
        <f t="shared" si="24"/>
        <v>-100</v>
      </c>
      <c r="C788" s="70">
        <v>787</v>
      </c>
      <c r="E788" s="66">
        <v>100</v>
      </c>
      <c r="F788" s="85">
        <v>45553</v>
      </c>
      <c r="G788" s="64" t="s">
        <v>332</v>
      </c>
      <c r="H788"/>
      <c r="I788"/>
    </row>
    <row r="789" spans="1:9" x14ac:dyDescent="0.35">
      <c r="A789" s="71">
        <f t="shared" si="25"/>
        <v>142448.59999999998</v>
      </c>
      <c r="B789" s="72">
        <f t="shared" si="24"/>
        <v>-35</v>
      </c>
      <c r="C789" s="70">
        <v>788</v>
      </c>
      <c r="E789" s="66">
        <v>35</v>
      </c>
      <c r="F789" s="85">
        <v>45553</v>
      </c>
      <c r="G789" s="64" t="s">
        <v>440</v>
      </c>
      <c r="H789"/>
      <c r="I789"/>
    </row>
    <row r="790" spans="1:9" x14ac:dyDescent="0.35">
      <c r="A790" s="71">
        <f t="shared" si="25"/>
        <v>142148.59999999998</v>
      </c>
      <c r="B790" s="72">
        <f t="shared" si="24"/>
        <v>-300</v>
      </c>
      <c r="C790" s="70">
        <v>789</v>
      </c>
      <c r="E790" s="66">
        <v>300</v>
      </c>
      <c r="F790" s="85">
        <v>45553</v>
      </c>
      <c r="G790" s="64" t="s">
        <v>455</v>
      </c>
      <c r="H790"/>
      <c r="I790"/>
    </row>
    <row r="791" spans="1:9" x14ac:dyDescent="0.35">
      <c r="A791" s="71">
        <f t="shared" si="25"/>
        <v>139278.59999999998</v>
      </c>
      <c r="B791" s="72">
        <f t="shared" si="24"/>
        <v>-2870</v>
      </c>
      <c r="C791" s="70">
        <v>790</v>
      </c>
      <c r="E791" s="66">
        <v>2870</v>
      </c>
      <c r="F791" s="85">
        <v>45553</v>
      </c>
      <c r="G791" s="64" t="s">
        <v>456</v>
      </c>
      <c r="H791"/>
      <c r="I791"/>
    </row>
    <row r="792" spans="1:9" x14ac:dyDescent="0.35">
      <c r="A792" s="71">
        <f t="shared" si="25"/>
        <v>138403.59999999998</v>
      </c>
      <c r="B792" s="72">
        <f t="shared" si="24"/>
        <v>-875</v>
      </c>
      <c r="C792" s="70">
        <v>791</v>
      </c>
      <c r="E792" s="66">
        <v>875</v>
      </c>
      <c r="F792" s="85">
        <v>45554</v>
      </c>
      <c r="G792" s="64" t="s">
        <v>457</v>
      </c>
      <c r="H792"/>
      <c r="I792"/>
    </row>
    <row r="793" spans="1:9" x14ac:dyDescent="0.35">
      <c r="A793" s="71">
        <f t="shared" si="25"/>
        <v>137403.59999999998</v>
      </c>
      <c r="B793" s="72">
        <f t="shared" si="24"/>
        <v>-1000</v>
      </c>
      <c r="C793" s="70">
        <v>792</v>
      </c>
      <c r="E793" s="66">
        <v>1000</v>
      </c>
      <c r="F793" s="85">
        <v>45554</v>
      </c>
      <c r="G793" s="64" t="s">
        <v>64</v>
      </c>
      <c r="H793"/>
      <c r="I793"/>
    </row>
    <row r="794" spans="1:9" x14ac:dyDescent="0.35">
      <c r="A794" s="71">
        <f t="shared" si="25"/>
        <v>138933.59999999998</v>
      </c>
      <c r="B794" s="72">
        <f t="shared" si="24"/>
        <v>1530</v>
      </c>
      <c r="C794" s="70">
        <v>793</v>
      </c>
      <c r="D794" s="65">
        <v>1650</v>
      </c>
      <c r="E794" s="66">
        <v>120</v>
      </c>
      <c r="F794" s="85">
        <v>45554</v>
      </c>
      <c r="G794" s="64" t="s">
        <v>179</v>
      </c>
      <c r="H794"/>
      <c r="I794"/>
    </row>
    <row r="795" spans="1:9" x14ac:dyDescent="0.35">
      <c r="A795" s="71">
        <f t="shared" si="25"/>
        <v>138873.59999999998</v>
      </c>
      <c r="B795" s="72">
        <f t="shared" si="24"/>
        <v>-60</v>
      </c>
      <c r="C795" s="70">
        <v>794</v>
      </c>
      <c r="E795" s="66">
        <v>60</v>
      </c>
      <c r="F795" s="85">
        <v>45554</v>
      </c>
      <c r="G795" s="64" t="s">
        <v>44</v>
      </c>
      <c r="H795"/>
      <c r="I795"/>
    </row>
    <row r="796" spans="1:9" x14ac:dyDescent="0.35">
      <c r="A796" s="71">
        <f t="shared" si="25"/>
        <v>148843.59999999998</v>
      </c>
      <c r="B796" s="72">
        <f t="shared" si="24"/>
        <v>9970</v>
      </c>
      <c r="C796" s="70">
        <v>795</v>
      </c>
      <c r="D796" s="65">
        <v>10090</v>
      </c>
      <c r="E796" s="66">
        <v>120</v>
      </c>
      <c r="F796" s="85">
        <v>45556</v>
      </c>
      <c r="G796" s="64" t="s">
        <v>444</v>
      </c>
      <c r="H796"/>
      <c r="I796"/>
    </row>
    <row r="797" spans="1:9" x14ac:dyDescent="0.35">
      <c r="A797" s="71">
        <f t="shared" si="25"/>
        <v>148693.59999999998</v>
      </c>
      <c r="B797" s="72">
        <f t="shared" si="24"/>
        <v>-150</v>
      </c>
      <c r="C797" s="70">
        <v>796</v>
      </c>
      <c r="E797" s="66">
        <v>150</v>
      </c>
      <c r="F797" s="85">
        <v>45556</v>
      </c>
      <c r="G797" s="64" t="s">
        <v>447</v>
      </c>
      <c r="H797"/>
      <c r="I797"/>
    </row>
    <row r="798" spans="1:9" x14ac:dyDescent="0.35">
      <c r="A798" s="71">
        <f t="shared" si="25"/>
        <v>148628.59999999998</v>
      </c>
      <c r="B798" s="72">
        <f t="shared" si="24"/>
        <v>-65</v>
      </c>
      <c r="C798" s="70">
        <v>797</v>
      </c>
      <c r="E798" s="66">
        <v>65</v>
      </c>
      <c r="F798" s="85">
        <v>45556</v>
      </c>
      <c r="G798" s="64" t="s">
        <v>36</v>
      </c>
      <c r="H798"/>
      <c r="I798"/>
    </row>
    <row r="799" spans="1:9" x14ac:dyDescent="0.35">
      <c r="A799" s="71">
        <f t="shared" si="25"/>
        <v>144628.59999999998</v>
      </c>
      <c r="B799" s="72">
        <f t="shared" si="24"/>
        <v>-4000</v>
      </c>
      <c r="C799" s="70">
        <v>798</v>
      </c>
      <c r="E799" s="66">
        <v>4000</v>
      </c>
      <c r="F799" s="85">
        <v>45556</v>
      </c>
      <c r="G799" s="64" t="s">
        <v>445</v>
      </c>
      <c r="H799"/>
      <c r="I799"/>
    </row>
    <row r="800" spans="1:9" x14ac:dyDescent="0.35">
      <c r="A800" s="71">
        <f t="shared" si="25"/>
        <v>161333.59999999998</v>
      </c>
      <c r="B800" s="72">
        <f t="shared" si="24"/>
        <v>16705</v>
      </c>
      <c r="C800" s="70">
        <v>799</v>
      </c>
      <c r="D800" s="65">
        <v>17155</v>
      </c>
      <c r="E800" s="66">
        <v>450</v>
      </c>
      <c r="F800" s="85">
        <v>45557</v>
      </c>
      <c r="G800" s="64" t="s">
        <v>446</v>
      </c>
      <c r="H800"/>
      <c r="I800"/>
    </row>
    <row r="801" spans="1:9" x14ac:dyDescent="0.35">
      <c r="A801" s="71">
        <f t="shared" si="25"/>
        <v>161258.59999999998</v>
      </c>
      <c r="B801" s="72">
        <f t="shared" si="24"/>
        <v>-75</v>
      </c>
      <c r="C801" s="70">
        <v>800</v>
      </c>
      <c r="E801" s="66">
        <v>75</v>
      </c>
      <c r="F801" s="85">
        <v>45557</v>
      </c>
      <c r="G801" s="64" t="s">
        <v>448</v>
      </c>
      <c r="H801"/>
      <c r="I801"/>
    </row>
    <row r="802" spans="1:9" x14ac:dyDescent="0.35">
      <c r="A802" s="71">
        <f t="shared" si="25"/>
        <v>160938.59999999998</v>
      </c>
      <c r="B802" s="72">
        <f t="shared" si="24"/>
        <v>-320</v>
      </c>
      <c r="C802" s="70">
        <v>801</v>
      </c>
      <c r="E802" s="66">
        <v>320</v>
      </c>
      <c r="F802" s="85">
        <v>45557</v>
      </c>
      <c r="G802" s="64" t="s">
        <v>75</v>
      </c>
      <c r="H802"/>
      <c r="I802"/>
    </row>
    <row r="803" spans="1:9" x14ac:dyDescent="0.35">
      <c r="A803" s="71">
        <f t="shared" si="25"/>
        <v>164998.59999999998</v>
      </c>
      <c r="B803" s="72">
        <f t="shared" si="24"/>
        <v>4060</v>
      </c>
      <c r="C803" s="70">
        <v>802</v>
      </c>
      <c r="D803" s="65">
        <v>4060</v>
      </c>
      <c r="F803" s="85">
        <v>45558</v>
      </c>
      <c r="G803" s="64" t="s">
        <v>12</v>
      </c>
      <c r="H803"/>
      <c r="I803"/>
    </row>
    <row r="804" spans="1:9" x14ac:dyDescent="0.35">
      <c r="A804" s="71">
        <f t="shared" si="25"/>
        <v>164898.59999999998</v>
      </c>
      <c r="B804" s="72">
        <f t="shared" si="24"/>
        <v>-100</v>
      </c>
      <c r="C804" s="70">
        <v>803</v>
      </c>
      <c r="E804" s="66">
        <v>100</v>
      </c>
      <c r="F804" s="85">
        <v>45559</v>
      </c>
      <c r="G804" s="64" t="s">
        <v>510</v>
      </c>
      <c r="H804"/>
      <c r="I804"/>
    </row>
    <row r="805" spans="1:9" x14ac:dyDescent="0.35">
      <c r="A805" s="71">
        <f t="shared" si="25"/>
        <v>185278.59999999998</v>
      </c>
      <c r="B805" s="72">
        <f t="shared" si="24"/>
        <v>20380</v>
      </c>
      <c r="C805" s="70">
        <v>804</v>
      </c>
      <c r="D805" s="65">
        <v>20380</v>
      </c>
      <c r="F805" s="85">
        <v>45559</v>
      </c>
      <c r="G805" s="64" t="s">
        <v>12</v>
      </c>
      <c r="H805"/>
      <c r="I805"/>
    </row>
    <row r="806" spans="1:9" x14ac:dyDescent="0.35">
      <c r="A806" s="71">
        <f t="shared" si="25"/>
        <v>185318.59999999998</v>
      </c>
      <c r="B806" s="72">
        <f t="shared" si="24"/>
        <v>40</v>
      </c>
      <c r="C806" s="70">
        <v>805</v>
      </c>
      <c r="D806" s="65">
        <v>40</v>
      </c>
      <c r="F806" s="85">
        <v>45559</v>
      </c>
      <c r="G806" s="64" t="s">
        <v>449</v>
      </c>
      <c r="H806"/>
      <c r="I806"/>
    </row>
    <row r="807" spans="1:9" x14ac:dyDescent="0.35">
      <c r="A807" s="71">
        <f t="shared" si="25"/>
        <v>197673.59999999998</v>
      </c>
      <c r="B807" s="72">
        <f t="shared" si="24"/>
        <v>12355</v>
      </c>
      <c r="C807" s="70">
        <v>806</v>
      </c>
      <c r="D807" s="65">
        <v>12355</v>
      </c>
      <c r="F807" s="85">
        <v>45560</v>
      </c>
      <c r="H807"/>
      <c r="I807"/>
    </row>
    <row r="808" spans="1:9" x14ac:dyDescent="0.35">
      <c r="A808" s="71">
        <f t="shared" si="25"/>
        <v>197613.59999999998</v>
      </c>
      <c r="B808" s="72">
        <f t="shared" si="24"/>
        <v>-60</v>
      </c>
      <c r="C808" s="70">
        <v>807</v>
      </c>
      <c r="E808" s="66">
        <v>60</v>
      </c>
      <c r="F808" s="85">
        <v>45560</v>
      </c>
      <c r="G808" s="64" t="s">
        <v>56</v>
      </c>
      <c r="H808"/>
      <c r="I808"/>
    </row>
    <row r="809" spans="1:9" x14ac:dyDescent="0.35">
      <c r="A809" s="71">
        <f t="shared" si="25"/>
        <v>199383.59999999998</v>
      </c>
      <c r="B809" s="72">
        <f t="shared" si="24"/>
        <v>1770</v>
      </c>
      <c r="C809" s="70">
        <v>808</v>
      </c>
      <c r="D809" s="65">
        <v>1770</v>
      </c>
      <c r="F809" s="85">
        <v>45561</v>
      </c>
      <c r="G809" s="64" t="s">
        <v>12</v>
      </c>
      <c r="H809"/>
      <c r="I809"/>
    </row>
    <row r="810" spans="1:9" x14ac:dyDescent="0.35">
      <c r="A810" s="71">
        <f t="shared" si="25"/>
        <v>199383.59999999998</v>
      </c>
      <c r="B810" s="72">
        <f t="shared" si="24"/>
        <v>0</v>
      </c>
      <c r="C810" s="70">
        <v>809</v>
      </c>
      <c r="D810" s="65">
        <v>100</v>
      </c>
      <c r="E810" s="66">
        <v>100</v>
      </c>
      <c r="F810" s="85">
        <v>45563</v>
      </c>
      <c r="G810" s="64" t="s">
        <v>564</v>
      </c>
      <c r="H810"/>
      <c r="I810"/>
    </row>
    <row r="811" spans="1:9" x14ac:dyDescent="0.35">
      <c r="A811" s="71">
        <f t="shared" si="25"/>
        <v>198863.59999999998</v>
      </c>
      <c r="B811" s="72">
        <f t="shared" si="24"/>
        <v>-520</v>
      </c>
      <c r="C811" s="70">
        <v>810</v>
      </c>
      <c r="E811" s="66">
        <v>520</v>
      </c>
      <c r="F811" s="85">
        <v>45563</v>
      </c>
      <c r="G811" s="64" t="s">
        <v>450</v>
      </c>
      <c r="H811"/>
      <c r="I811"/>
    </row>
    <row r="812" spans="1:9" x14ac:dyDescent="0.35">
      <c r="A812" s="71">
        <f t="shared" si="25"/>
        <v>197263.59999999998</v>
      </c>
      <c r="B812" s="72">
        <f t="shared" si="24"/>
        <v>-1600</v>
      </c>
      <c r="C812" s="70">
        <v>811</v>
      </c>
      <c r="E812" s="66">
        <v>1600</v>
      </c>
      <c r="F812" s="85">
        <v>45563</v>
      </c>
      <c r="G812" s="64" t="s">
        <v>451</v>
      </c>
      <c r="H812"/>
      <c r="I812"/>
    </row>
    <row r="813" spans="1:9" x14ac:dyDescent="0.35">
      <c r="A813" s="71">
        <f t="shared" si="25"/>
        <v>199853.59999999998</v>
      </c>
      <c r="B813" s="72">
        <f t="shared" si="24"/>
        <v>2590</v>
      </c>
      <c r="C813" s="70">
        <v>812</v>
      </c>
      <c r="D813" s="65">
        <v>2665</v>
      </c>
      <c r="E813" s="66">
        <v>75</v>
      </c>
      <c r="F813" s="85">
        <v>45563</v>
      </c>
      <c r="G813" s="64" t="s">
        <v>452</v>
      </c>
      <c r="H813"/>
      <c r="I813"/>
    </row>
    <row r="814" spans="1:9" x14ac:dyDescent="0.35">
      <c r="A814" s="71">
        <f t="shared" si="25"/>
        <v>199779.59999999998</v>
      </c>
      <c r="B814" s="72">
        <f t="shared" si="24"/>
        <v>-74</v>
      </c>
      <c r="C814" s="70">
        <v>813</v>
      </c>
      <c r="E814" s="66">
        <v>74</v>
      </c>
      <c r="F814" s="85">
        <v>45563</v>
      </c>
      <c r="G814" s="64" t="s">
        <v>453</v>
      </c>
      <c r="H814"/>
      <c r="I814"/>
    </row>
    <row r="815" spans="1:9" x14ac:dyDescent="0.35">
      <c r="A815" s="71">
        <f t="shared" si="25"/>
        <v>199744.59999999998</v>
      </c>
      <c r="B815" s="72">
        <f t="shared" si="24"/>
        <v>-35</v>
      </c>
      <c r="C815" s="70">
        <v>814</v>
      </c>
      <c r="E815" s="66">
        <v>35</v>
      </c>
      <c r="F815" s="85">
        <v>45563</v>
      </c>
      <c r="G815" s="64" t="s">
        <v>454</v>
      </c>
      <c r="H815"/>
      <c r="I815"/>
    </row>
    <row r="816" spans="1:9" x14ac:dyDescent="0.35">
      <c r="A816" s="71">
        <f t="shared" si="25"/>
        <v>199524.59999999998</v>
      </c>
      <c r="B816" s="72">
        <f t="shared" si="24"/>
        <v>-220</v>
      </c>
      <c r="C816" s="70">
        <v>815</v>
      </c>
      <c r="E816" s="66">
        <v>220</v>
      </c>
      <c r="F816" s="85">
        <v>45563</v>
      </c>
      <c r="G816" s="64" t="s">
        <v>50</v>
      </c>
      <c r="H816"/>
      <c r="I816"/>
    </row>
    <row r="817" spans="1:9" x14ac:dyDescent="0.35">
      <c r="A817" s="71">
        <f t="shared" si="25"/>
        <v>217994.59999999998</v>
      </c>
      <c r="B817" s="72">
        <f t="shared" si="24"/>
        <v>18470</v>
      </c>
      <c r="C817" s="70">
        <v>816</v>
      </c>
      <c r="D817" s="65">
        <v>18620</v>
      </c>
      <c r="E817" s="66">
        <v>150</v>
      </c>
      <c r="F817" s="85">
        <v>45564</v>
      </c>
      <c r="G817" s="64" t="s">
        <v>459</v>
      </c>
      <c r="H817"/>
      <c r="I817"/>
    </row>
    <row r="818" spans="1:9" x14ac:dyDescent="0.35">
      <c r="A818" s="71">
        <f t="shared" si="25"/>
        <v>217714.59999999998</v>
      </c>
      <c r="B818" s="72">
        <f t="shared" si="24"/>
        <v>-280</v>
      </c>
      <c r="C818" s="70">
        <v>817</v>
      </c>
      <c r="E818" s="66">
        <v>280</v>
      </c>
      <c r="F818" s="85">
        <v>45564</v>
      </c>
      <c r="G818" s="64" t="s">
        <v>458</v>
      </c>
      <c r="H818"/>
      <c r="I818"/>
    </row>
    <row r="819" spans="1:9" x14ac:dyDescent="0.35">
      <c r="A819" s="71">
        <f t="shared" si="25"/>
        <v>217654.59999999998</v>
      </c>
      <c r="B819" s="72">
        <f t="shared" si="24"/>
        <v>-60</v>
      </c>
      <c r="C819" s="70">
        <v>818</v>
      </c>
      <c r="E819" s="66">
        <v>60</v>
      </c>
      <c r="F819" s="85">
        <v>45564</v>
      </c>
      <c r="G819" s="64" t="s">
        <v>142</v>
      </c>
      <c r="H819"/>
      <c r="I819"/>
    </row>
    <row r="820" spans="1:9" x14ac:dyDescent="0.35">
      <c r="A820" s="71">
        <f t="shared" si="25"/>
        <v>216154.59999999998</v>
      </c>
      <c r="B820" s="72">
        <f t="shared" si="24"/>
        <v>-1500</v>
      </c>
      <c r="C820" s="70">
        <v>819</v>
      </c>
      <c r="E820" s="66">
        <v>1500</v>
      </c>
      <c r="F820" s="85">
        <v>45565</v>
      </c>
      <c r="G820" s="64" t="s">
        <v>64</v>
      </c>
      <c r="H820"/>
      <c r="I820"/>
    </row>
    <row r="821" spans="1:9" x14ac:dyDescent="0.35">
      <c r="A821" s="71">
        <f t="shared" si="25"/>
        <v>218824.59999999998</v>
      </c>
      <c r="B821" s="72">
        <f t="shared" si="24"/>
        <v>2670</v>
      </c>
      <c r="C821" s="70">
        <v>820</v>
      </c>
      <c r="D821" s="65">
        <v>3670</v>
      </c>
      <c r="E821" s="66">
        <v>1000</v>
      </c>
      <c r="F821" s="85">
        <v>45565</v>
      </c>
      <c r="G821" s="64" t="s">
        <v>460</v>
      </c>
      <c r="H821"/>
      <c r="I821"/>
    </row>
    <row r="822" spans="1:9" x14ac:dyDescent="0.35">
      <c r="A822" s="71">
        <f t="shared" si="25"/>
        <v>218524.59999999998</v>
      </c>
      <c r="B822" s="72">
        <f t="shared" si="24"/>
        <v>-300</v>
      </c>
      <c r="C822" s="70">
        <v>821</v>
      </c>
      <c r="E822" s="66">
        <v>300</v>
      </c>
      <c r="F822" s="85">
        <v>45565</v>
      </c>
      <c r="G822" s="64" t="s">
        <v>461</v>
      </c>
      <c r="H822"/>
      <c r="I822"/>
    </row>
    <row r="823" spans="1:9" x14ac:dyDescent="0.35">
      <c r="A823" s="71">
        <f t="shared" si="25"/>
        <v>218504.59999999998</v>
      </c>
      <c r="B823" s="72">
        <f t="shared" si="24"/>
        <v>-20</v>
      </c>
      <c r="C823" s="70">
        <v>822</v>
      </c>
      <c r="E823" s="66">
        <v>20</v>
      </c>
      <c r="F823" s="85">
        <v>45565</v>
      </c>
      <c r="G823" s="64" t="s">
        <v>462</v>
      </c>
      <c r="H823"/>
      <c r="I823"/>
    </row>
    <row r="824" spans="1:9" x14ac:dyDescent="0.35">
      <c r="A824" s="71">
        <f t="shared" si="25"/>
        <v>207494.59999999998</v>
      </c>
      <c r="B824" s="72">
        <f t="shared" si="24"/>
        <v>-11010</v>
      </c>
      <c r="C824" s="70">
        <v>823</v>
      </c>
      <c r="E824" s="66">
        <v>11010</v>
      </c>
      <c r="F824" s="85">
        <v>45566</v>
      </c>
      <c r="G824" s="64" t="s">
        <v>463</v>
      </c>
      <c r="H824"/>
      <c r="I824"/>
    </row>
    <row r="825" spans="1:9" x14ac:dyDescent="0.35">
      <c r="A825" s="71">
        <f t="shared" si="25"/>
        <v>141431.59999999998</v>
      </c>
      <c r="B825" s="72">
        <f t="shared" si="24"/>
        <v>-66063</v>
      </c>
      <c r="C825" s="70">
        <v>824</v>
      </c>
      <c r="E825" s="66">
        <v>66063</v>
      </c>
      <c r="F825" s="85">
        <v>45566</v>
      </c>
      <c r="G825" s="64" t="s">
        <v>298</v>
      </c>
      <c r="H825"/>
      <c r="I825"/>
    </row>
    <row r="826" spans="1:9" x14ac:dyDescent="0.35">
      <c r="A826" s="71">
        <f t="shared" si="25"/>
        <v>140431.59999999998</v>
      </c>
      <c r="B826" s="72">
        <f t="shared" si="24"/>
        <v>-1000</v>
      </c>
      <c r="C826" s="70">
        <v>825</v>
      </c>
      <c r="E826" s="66">
        <v>1000</v>
      </c>
      <c r="F826" s="85">
        <v>45566</v>
      </c>
      <c r="G826" s="64" t="s">
        <v>24</v>
      </c>
      <c r="H826"/>
      <c r="I826"/>
    </row>
    <row r="827" spans="1:9" x14ac:dyDescent="0.35">
      <c r="A827" s="71">
        <f t="shared" si="25"/>
        <v>140431.59999999998</v>
      </c>
      <c r="B827" s="72">
        <f t="shared" si="24"/>
        <v>0</v>
      </c>
      <c r="C827" s="70">
        <v>826</v>
      </c>
      <c r="D827" s="65">
        <v>4125</v>
      </c>
      <c r="E827" s="66">
        <v>4125</v>
      </c>
      <c r="F827" s="85">
        <v>45566</v>
      </c>
      <c r="G827" s="64" t="s">
        <v>522</v>
      </c>
      <c r="H827"/>
      <c r="I827"/>
    </row>
    <row r="828" spans="1:9" x14ac:dyDescent="0.35">
      <c r="A828" s="71">
        <f t="shared" si="25"/>
        <v>141256.59999999998</v>
      </c>
      <c r="B828" s="72">
        <f t="shared" si="24"/>
        <v>825</v>
      </c>
      <c r="C828" s="70">
        <v>827</v>
      </c>
      <c r="D828" s="65">
        <v>825</v>
      </c>
      <c r="F828" s="85">
        <v>45567</v>
      </c>
      <c r="G828" s="64" t="s">
        <v>464</v>
      </c>
      <c r="H828"/>
      <c r="I828"/>
    </row>
    <row r="829" spans="1:9" x14ac:dyDescent="0.35">
      <c r="A829" s="71">
        <f t="shared" si="25"/>
        <v>180744.59999999998</v>
      </c>
      <c r="B829" s="72">
        <f t="shared" si="24"/>
        <v>39488</v>
      </c>
      <c r="C829" s="70">
        <v>828</v>
      </c>
      <c r="D829" s="65">
        <v>39925</v>
      </c>
      <c r="E829" s="66">
        <v>437</v>
      </c>
      <c r="F829" s="85">
        <v>45566</v>
      </c>
      <c r="G829" s="64" t="s">
        <v>465</v>
      </c>
      <c r="H829"/>
      <c r="I829"/>
    </row>
    <row r="830" spans="1:9" x14ac:dyDescent="0.35">
      <c r="A830" s="71">
        <f t="shared" si="25"/>
        <v>180724.59999999998</v>
      </c>
      <c r="B830" s="72">
        <f t="shared" si="24"/>
        <v>-20</v>
      </c>
      <c r="C830" s="70">
        <v>829</v>
      </c>
      <c r="E830" s="66">
        <v>20</v>
      </c>
      <c r="F830" s="85">
        <v>45566</v>
      </c>
      <c r="G830" s="64" t="s">
        <v>466</v>
      </c>
      <c r="H830"/>
      <c r="I830"/>
    </row>
    <row r="831" spans="1:9" x14ac:dyDescent="0.35">
      <c r="A831" s="71">
        <f t="shared" si="25"/>
        <v>180704.59999999998</v>
      </c>
      <c r="B831" s="72">
        <f t="shared" si="24"/>
        <v>-20</v>
      </c>
      <c r="C831" s="70">
        <v>830</v>
      </c>
      <c r="E831" s="66">
        <v>20</v>
      </c>
      <c r="F831" s="85">
        <v>45566</v>
      </c>
      <c r="G831" s="64" t="s">
        <v>36</v>
      </c>
      <c r="H831"/>
      <c r="I831"/>
    </row>
    <row r="832" spans="1:9" x14ac:dyDescent="0.35">
      <c r="A832" s="71">
        <f t="shared" si="25"/>
        <v>156504.59999999998</v>
      </c>
      <c r="B832" s="72">
        <f t="shared" si="24"/>
        <v>-24200</v>
      </c>
      <c r="C832" s="70">
        <v>831</v>
      </c>
      <c r="E832" s="66">
        <v>24200</v>
      </c>
      <c r="F832" s="85">
        <v>45566</v>
      </c>
      <c r="G832" s="64" t="s">
        <v>15</v>
      </c>
      <c r="H832"/>
      <c r="I832"/>
    </row>
    <row r="833" spans="1:9" x14ac:dyDescent="0.35">
      <c r="A833" s="71">
        <f t="shared" si="25"/>
        <v>163464.59999999998</v>
      </c>
      <c r="B833" s="72">
        <f t="shared" si="24"/>
        <v>6960</v>
      </c>
      <c r="C833" s="70">
        <v>832</v>
      </c>
      <c r="D833" s="65">
        <v>6960</v>
      </c>
      <c r="F833" s="85">
        <v>45567</v>
      </c>
      <c r="H833"/>
      <c r="I833"/>
    </row>
    <row r="834" spans="1:9" x14ac:dyDescent="0.35">
      <c r="A834" s="71">
        <f t="shared" si="25"/>
        <v>163164.59999999998</v>
      </c>
      <c r="B834" s="72">
        <f t="shared" si="24"/>
        <v>-300</v>
      </c>
      <c r="C834" s="70">
        <v>833</v>
      </c>
      <c r="E834" s="66">
        <v>300</v>
      </c>
      <c r="F834" s="85">
        <v>45567</v>
      </c>
      <c r="G834" s="64" t="s">
        <v>448</v>
      </c>
      <c r="H834"/>
      <c r="I834"/>
    </row>
    <row r="835" spans="1:9" x14ac:dyDescent="0.35">
      <c r="A835" s="71">
        <f t="shared" si="25"/>
        <v>163104.59999999998</v>
      </c>
      <c r="B835" s="72">
        <f t="shared" ref="B835:B898" si="26">SUM(D835-E835)</f>
        <v>-60</v>
      </c>
      <c r="C835" s="70">
        <v>834</v>
      </c>
      <c r="E835" s="66">
        <v>60</v>
      </c>
      <c r="F835" s="85">
        <v>45567</v>
      </c>
      <c r="G835" s="64" t="s">
        <v>182</v>
      </c>
      <c r="H835"/>
      <c r="I835"/>
    </row>
    <row r="836" spans="1:9" x14ac:dyDescent="0.35">
      <c r="A836" s="71">
        <f t="shared" ref="A836:A899" si="27">SUM(A835+B836)</f>
        <v>143854.59999999998</v>
      </c>
      <c r="B836" s="72">
        <f t="shared" si="26"/>
        <v>-19250</v>
      </c>
      <c r="C836" s="70">
        <v>835</v>
      </c>
      <c r="E836" s="66">
        <v>19250</v>
      </c>
      <c r="F836" s="85">
        <v>45568</v>
      </c>
      <c r="G836" s="64" t="s">
        <v>17</v>
      </c>
      <c r="H836"/>
      <c r="I836"/>
    </row>
    <row r="837" spans="1:9" x14ac:dyDescent="0.35">
      <c r="A837" s="71">
        <f t="shared" si="27"/>
        <v>143074.59999999998</v>
      </c>
      <c r="B837" s="72">
        <f t="shared" si="26"/>
        <v>-780</v>
      </c>
      <c r="C837" s="70">
        <v>836</v>
      </c>
      <c r="E837" s="66">
        <v>780</v>
      </c>
      <c r="F837" s="85">
        <v>45568</v>
      </c>
      <c r="G837" s="64" t="s">
        <v>467</v>
      </c>
      <c r="H837"/>
      <c r="I837"/>
    </row>
    <row r="838" spans="1:9" x14ac:dyDescent="0.35">
      <c r="A838" s="71">
        <f t="shared" si="27"/>
        <v>142874.59999999998</v>
      </c>
      <c r="B838" s="72">
        <f t="shared" si="26"/>
        <v>-200</v>
      </c>
      <c r="C838" s="70">
        <v>837</v>
      </c>
      <c r="E838" s="66">
        <v>200</v>
      </c>
      <c r="F838" s="85">
        <v>45568</v>
      </c>
      <c r="G838" s="64" t="s">
        <v>1</v>
      </c>
      <c r="H838"/>
      <c r="I838"/>
    </row>
    <row r="839" spans="1:9" x14ac:dyDescent="0.35">
      <c r="A839" s="71">
        <f t="shared" si="27"/>
        <v>142074.59999999998</v>
      </c>
      <c r="B839" s="72">
        <f t="shared" si="26"/>
        <v>-800</v>
      </c>
      <c r="C839" s="70">
        <v>838</v>
      </c>
      <c r="E839" s="66">
        <v>800</v>
      </c>
      <c r="F839" s="85">
        <v>45568</v>
      </c>
      <c r="G839" s="64" t="s">
        <v>468</v>
      </c>
      <c r="H839"/>
      <c r="I839"/>
    </row>
    <row r="840" spans="1:9" x14ac:dyDescent="0.35">
      <c r="A840" s="71">
        <f t="shared" si="27"/>
        <v>144219.59999999998</v>
      </c>
      <c r="B840" s="72">
        <f t="shared" si="26"/>
        <v>2145</v>
      </c>
      <c r="C840" s="70">
        <v>839</v>
      </c>
      <c r="D840" s="65">
        <v>2265</v>
      </c>
      <c r="E840" s="66">
        <v>120</v>
      </c>
      <c r="F840" s="85">
        <v>45568</v>
      </c>
      <c r="G840" s="64" t="s">
        <v>50</v>
      </c>
      <c r="H840"/>
      <c r="I840"/>
    </row>
    <row r="841" spans="1:9" x14ac:dyDescent="0.35">
      <c r="A841" s="71">
        <f t="shared" si="27"/>
        <v>144099.59999999998</v>
      </c>
      <c r="B841" s="72">
        <f t="shared" si="26"/>
        <v>-120</v>
      </c>
      <c r="C841" s="70">
        <v>840</v>
      </c>
      <c r="E841" s="66">
        <v>120</v>
      </c>
      <c r="F841" s="85">
        <v>45568</v>
      </c>
      <c r="G841" s="64" t="s">
        <v>31</v>
      </c>
      <c r="H841"/>
      <c r="I841"/>
    </row>
    <row r="842" spans="1:9" x14ac:dyDescent="0.35">
      <c r="A842" s="71">
        <f t="shared" si="27"/>
        <v>144024.59999999998</v>
      </c>
      <c r="B842" s="72">
        <f t="shared" si="26"/>
        <v>-75</v>
      </c>
      <c r="C842" s="70">
        <v>841</v>
      </c>
      <c r="E842" s="66">
        <v>75</v>
      </c>
      <c r="F842" s="85">
        <v>45568</v>
      </c>
      <c r="G842" s="64" t="s">
        <v>452</v>
      </c>
      <c r="H842"/>
      <c r="I842"/>
    </row>
    <row r="843" spans="1:9" x14ac:dyDescent="0.35">
      <c r="A843" s="71">
        <f t="shared" si="27"/>
        <v>144064.59999999998</v>
      </c>
      <c r="B843" s="72">
        <f t="shared" si="26"/>
        <v>40</v>
      </c>
      <c r="C843" s="70">
        <v>842</v>
      </c>
      <c r="D843" s="65">
        <v>40</v>
      </c>
      <c r="F843" s="85">
        <v>45568</v>
      </c>
      <c r="G843" s="64" t="s">
        <v>469</v>
      </c>
      <c r="H843"/>
      <c r="I843"/>
    </row>
    <row r="844" spans="1:9" x14ac:dyDescent="0.35">
      <c r="A844" s="71">
        <f t="shared" si="27"/>
        <v>144064.59999999998</v>
      </c>
      <c r="B844" s="72">
        <f t="shared" si="26"/>
        <v>0</v>
      </c>
      <c r="C844" s="70">
        <v>843</v>
      </c>
      <c r="D844" s="65">
        <v>30000</v>
      </c>
      <c r="E844" s="66">
        <v>30000</v>
      </c>
      <c r="F844" s="85">
        <v>45570</v>
      </c>
      <c r="G844" s="64" t="s">
        <v>477</v>
      </c>
      <c r="H844"/>
      <c r="I844"/>
    </row>
    <row r="845" spans="1:9" x14ac:dyDescent="0.35">
      <c r="A845" s="71">
        <f t="shared" si="27"/>
        <v>149754.59999999998</v>
      </c>
      <c r="B845" s="72">
        <f t="shared" si="26"/>
        <v>5690</v>
      </c>
      <c r="C845" s="70">
        <v>844</v>
      </c>
      <c r="D845" s="65">
        <v>5915</v>
      </c>
      <c r="E845" s="66">
        <v>225</v>
      </c>
      <c r="F845" s="85">
        <v>45570</v>
      </c>
      <c r="G845" s="64" t="s">
        <v>470</v>
      </c>
      <c r="H845"/>
      <c r="I845"/>
    </row>
    <row r="846" spans="1:9" x14ac:dyDescent="0.35">
      <c r="A846" s="71">
        <f t="shared" si="27"/>
        <v>178439.59999999998</v>
      </c>
      <c r="B846" s="72">
        <f t="shared" si="26"/>
        <v>28685</v>
      </c>
      <c r="C846" s="70">
        <v>845</v>
      </c>
      <c r="D846" s="65">
        <v>29220</v>
      </c>
      <c r="E846" s="66">
        <v>535</v>
      </c>
      <c r="F846" s="85">
        <v>45571</v>
      </c>
      <c r="G846" s="64" t="s">
        <v>471</v>
      </c>
      <c r="H846"/>
      <c r="I846"/>
    </row>
    <row r="847" spans="1:9" x14ac:dyDescent="0.35">
      <c r="A847" s="71">
        <f t="shared" si="27"/>
        <v>178359.59999999998</v>
      </c>
      <c r="B847" s="72">
        <f t="shared" si="26"/>
        <v>-80</v>
      </c>
      <c r="C847" s="70">
        <v>846</v>
      </c>
      <c r="E847" s="66">
        <v>80</v>
      </c>
      <c r="F847" s="85">
        <v>45571</v>
      </c>
      <c r="G847" s="64" t="s">
        <v>472</v>
      </c>
      <c r="H847"/>
      <c r="I847"/>
    </row>
    <row r="848" spans="1:9" x14ac:dyDescent="0.35">
      <c r="A848" s="71">
        <f t="shared" si="27"/>
        <v>178284.59999999998</v>
      </c>
      <c r="B848" s="72">
        <f t="shared" si="26"/>
        <v>-75</v>
      </c>
      <c r="C848" s="70">
        <v>847</v>
      </c>
      <c r="E848" s="66">
        <v>75</v>
      </c>
      <c r="F848" s="85">
        <v>45571</v>
      </c>
      <c r="G848" s="64" t="s">
        <v>473</v>
      </c>
      <c r="H848"/>
      <c r="I848"/>
    </row>
    <row r="849" spans="1:9" x14ac:dyDescent="0.35">
      <c r="A849" s="71">
        <f t="shared" si="27"/>
        <v>185204.59999999998</v>
      </c>
      <c r="B849" s="72">
        <f t="shared" si="26"/>
        <v>6920</v>
      </c>
      <c r="C849" s="70">
        <v>848</v>
      </c>
      <c r="D849" s="65">
        <v>7145</v>
      </c>
      <c r="E849" s="66">
        <v>225</v>
      </c>
      <c r="F849" s="85">
        <v>45572</v>
      </c>
      <c r="G849" s="64" t="s">
        <v>476</v>
      </c>
      <c r="H849"/>
      <c r="I849"/>
    </row>
    <row r="850" spans="1:9" x14ac:dyDescent="0.35">
      <c r="A850" s="71">
        <f t="shared" si="27"/>
        <v>185184.59999999998</v>
      </c>
      <c r="B850" s="72">
        <f t="shared" si="26"/>
        <v>-20</v>
      </c>
      <c r="C850" s="70">
        <v>849</v>
      </c>
      <c r="E850" s="66">
        <v>20</v>
      </c>
      <c r="F850" s="85">
        <v>45572</v>
      </c>
      <c r="G850" s="64" t="s">
        <v>475</v>
      </c>
      <c r="H850"/>
      <c r="I850"/>
    </row>
    <row r="851" spans="1:9" x14ac:dyDescent="0.35">
      <c r="A851" s="71">
        <f t="shared" si="27"/>
        <v>184909.59999999998</v>
      </c>
      <c r="B851" s="72">
        <f t="shared" si="26"/>
        <v>-275</v>
      </c>
      <c r="C851" s="70">
        <v>850</v>
      </c>
      <c r="E851" s="66">
        <v>275</v>
      </c>
      <c r="F851" s="85">
        <v>45572</v>
      </c>
      <c r="G851" s="64" t="s">
        <v>474</v>
      </c>
      <c r="H851"/>
      <c r="I851"/>
    </row>
    <row r="852" spans="1:9" x14ac:dyDescent="0.35">
      <c r="A852" s="71">
        <f t="shared" si="27"/>
        <v>184854.59999999998</v>
      </c>
      <c r="B852" s="72">
        <f t="shared" si="26"/>
        <v>-55</v>
      </c>
      <c r="C852" s="70">
        <v>851</v>
      </c>
      <c r="E852" s="66">
        <v>55</v>
      </c>
      <c r="F852" s="85">
        <v>45572</v>
      </c>
      <c r="G852" s="64" t="s">
        <v>36</v>
      </c>
      <c r="H852"/>
      <c r="I852"/>
    </row>
    <row r="853" spans="1:9" x14ac:dyDescent="0.35">
      <c r="A853" s="71">
        <f t="shared" si="27"/>
        <v>184780.59999999998</v>
      </c>
      <c r="B853" s="72">
        <f t="shared" si="26"/>
        <v>-74</v>
      </c>
      <c r="C853" s="70">
        <v>852</v>
      </c>
      <c r="E853" s="66">
        <v>74</v>
      </c>
      <c r="F853" s="85">
        <v>45572</v>
      </c>
      <c r="G853" s="64" t="s">
        <v>122</v>
      </c>
      <c r="H853"/>
      <c r="I853"/>
    </row>
    <row r="854" spans="1:9" x14ac:dyDescent="0.35">
      <c r="A854" s="71">
        <f t="shared" si="27"/>
        <v>181180.59999999998</v>
      </c>
      <c r="B854" s="72">
        <f t="shared" si="26"/>
        <v>-3600</v>
      </c>
      <c r="C854" s="70">
        <v>853</v>
      </c>
      <c r="E854" s="66">
        <v>3600</v>
      </c>
      <c r="F854" s="85">
        <v>45573</v>
      </c>
      <c r="G854" s="64" t="s">
        <v>201</v>
      </c>
      <c r="H854"/>
      <c r="I854"/>
    </row>
    <row r="855" spans="1:9" x14ac:dyDescent="0.35">
      <c r="A855" s="71">
        <f t="shared" si="27"/>
        <v>180760.59999999998</v>
      </c>
      <c r="B855" s="72">
        <f t="shared" si="26"/>
        <v>-420</v>
      </c>
      <c r="C855" s="70">
        <v>854</v>
      </c>
      <c r="E855" s="66">
        <v>420</v>
      </c>
      <c r="F855" s="85">
        <v>45573</v>
      </c>
      <c r="G855" s="64" t="s">
        <v>482</v>
      </c>
      <c r="H855"/>
      <c r="I855"/>
    </row>
    <row r="856" spans="1:9" x14ac:dyDescent="0.35">
      <c r="A856" s="71">
        <f t="shared" si="27"/>
        <v>130760.59999999998</v>
      </c>
      <c r="B856" s="72">
        <f t="shared" si="26"/>
        <v>-50000</v>
      </c>
      <c r="C856" s="70">
        <v>855</v>
      </c>
      <c r="E856" s="66">
        <v>50000</v>
      </c>
      <c r="F856" s="85">
        <v>45573</v>
      </c>
      <c r="G856" s="64" t="s">
        <v>478</v>
      </c>
      <c r="H856"/>
      <c r="I856"/>
    </row>
    <row r="857" spans="1:9" x14ac:dyDescent="0.35">
      <c r="A857" s="71">
        <f t="shared" si="27"/>
        <v>146880.59999999998</v>
      </c>
      <c r="B857" s="72">
        <f t="shared" si="26"/>
        <v>16120</v>
      </c>
      <c r="C857" s="70">
        <v>856</v>
      </c>
      <c r="D857" s="65">
        <v>16920</v>
      </c>
      <c r="E857" s="66">
        <v>800</v>
      </c>
      <c r="F857" s="85">
        <v>45573</v>
      </c>
      <c r="G857" s="64" t="s">
        <v>351</v>
      </c>
      <c r="H857"/>
      <c r="I857"/>
    </row>
    <row r="858" spans="1:9" x14ac:dyDescent="0.35">
      <c r="A858" s="71">
        <f t="shared" si="27"/>
        <v>165430.59999999998</v>
      </c>
      <c r="B858" s="72">
        <f t="shared" si="26"/>
        <v>18550</v>
      </c>
      <c r="C858" s="70">
        <v>857</v>
      </c>
      <c r="D858" s="65">
        <v>18550</v>
      </c>
      <c r="F858" s="85">
        <v>45574</v>
      </c>
      <c r="G858" s="64" t="s">
        <v>12</v>
      </c>
      <c r="H858"/>
      <c r="I858"/>
    </row>
    <row r="859" spans="1:9" x14ac:dyDescent="0.35">
      <c r="A859" s="71">
        <f t="shared" si="27"/>
        <v>165430.59999999998</v>
      </c>
      <c r="B859" s="72">
        <f t="shared" si="26"/>
        <v>0</v>
      </c>
      <c r="C859" s="70">
        <v>858</v>
      </c>
      <c r="D859" s="65">
        <v>50</v>
      </c>
      <c r="E859" s="66">
        <v>50</v>
      </c>
      <c r="F859" s="85">
        <v>45574</v>
      </c>
      <c r="G859" s="64" t="s">
        <v>544</v>
      </c>
      <c r="H859"/>
      <c r="I859"/>
    </row>
    <row r="860" spans="1:9" x14ac:dyDescent="0.35">
      <c r="A860" s="71">
        <f t="shared" si="27"/>
        <v>165370.59999999998</v>
      </c>
      <c r="B860" s="72">
        <f t="shared" si="26"/>
        <v>-60</v>
      </c>
      <c r="C860" s="70">
        <v>859</v>
      </c>
      <c r="E860" s="66">
        <v>60</v>
      </c>
      <c r="F860" s="85">
        <v>45574</v>
      </c>
      <c r="G860" s="64" t="s">
        <v>30</v>
      </c>
      <c r="H860"/>
      <c r="I860"/>
    </row>
    <row r="861" spans="1:9" x14ac:dyDescent="0.35">
      <c r="A861" s="71">
        <f t="shared" si="27"/>
        <v>165310.59999999998</v>
      </c>
      <c r="B861" s="72">
        <f t="shared" si="26"/>
        <v>-60</v>
      </c>
      <c r="C861" s="70">
        <v>860</v>
      </c>
      <c r="E861" s="66">
        <v>60</v>
      </c>
      <c r="F861" s="85">
        <v>45574</v>
      </c>
      <c r="G861" s="64" t="s">
        <v>113</v>
      </c>
      <c r="H861"/>
      <c r="I861"/>
    </row>
    <row r="862" spans="1:9" x14ac:dyDescent="0.35">
      <c r="A862" s="71">
        <f t="shared" si="27"/>
        <v>165210.59999999998</v>
      </c>
      <c r="B862" s="72">
        <f t="shared" si="26"/>
        <v>-100</v>
      </c>
      <c r="C862" s="70">
        <v>861</v>
      </c>
      <c r="E862" s="66">
        <v>100</v>
      </c>
      <c r="F862" s="85">
        <v>45574</v>
      </c>
      <c r="G862" s="64" t="s">
        <v>511</v>
      </c>
      <c r="H862"/>
      <c r="I862"/>
    </row>
    <row r="863" spans="1:9" x14ac:dyDescent="0.35">
      <c r="A863" s="71">
        <f t="shared" si="27"/>
        <v>148410.59999999998</v>
      </c>
      <c r="B863" s="72">
        <f t="shared" si="26"/>
        <v>-16800</v>
      </c>
      <c r="C863" s="70">
        <v>862</v>
      </c>
      <c r="E863" s="66">
        <v>16800</v>
      </c>
      <c r="F863" s="85">
        <v>45575</v>
      </c>
      <c r="G863" s="64" t="s">
        <v>479</v>
      </c>
      <c r="H863"/>
      <c r="I863"/>
    </row>
    <row r="864" spans="1:9" x14ac:dyDescent="0.35">
      <c r="A864" s="71">
        <f t="shared" si="27"/>
        <v>112285.59999999998</v>
      </c>
      <c r="B864" s="72">
        <f t="shared" si="26"/>
        <v>-36125</v>
      </c>
      <c r="C864" s="70">
        <v>863</v>
      </c>
      <c r="E864" s="66">
        <v>36125</v>
      </c>
      <c r="F864" s="85">
        <v>45575</v>
      </c>
      <c r="G864" s="64" t="s">
        <v>480</v>
      </c>
      <c r="H864"/>
      <c r="I864"/>
    </row>
    <row r="865" spans="1:9" x14ac:dyDescent="0.35">
      <c r="A865" s="71">
        <f t="shared" si="27"/>
        <v>112285.59999999998</v>
      </c>
      <c r="B865" s="72">
        <f t="shared" si="26"/>
        <v>0</v>
      </c>
      <c r="C865" s="70">
        <v>864</v>
      </c>
      <c r="D865" s="65">
        <v>250</v>
      </c>
      <c r="E865" s="66">
        <v>250</v>
      </c>
      <c r="F865" s="85">
        <v>45575</v>
      </c>
      <c r="G865" s="64" t="s">
        <v>846</v>
      </c>
      <c r="H865"/>
      <c r="I865"/>
    </row>
    <row r="866" spans="1:9" x14ac:dyDescent="0.35">
      <c r="A866" s="71">
        <f t="shared" si="27"/>
        <v>98005.599999999977</v>
      </c>
      <c r="B866" s="72">
        <f t="shared" si="26"/>
        <v>-14280</v>
      </c>
      <c r="C866" s="70">
        <v>865</v>
      </c>
      <c r="D866" s="65">
        <v>645</v>
      </c>
      <c r="E866" s="66">
        <v>14925</v>
      </c>
      <c r="F866" s="85">
        <v>45575</v>
      </c>
      <c r="G866" s="64" t="s">
        <v>494</v>
      </c>
      <c r="H866"/>
      <c r="I866"/>
    </row>
    <row r="867" spans="1:9" x14ac:dyDescent="0.35">
      <c r="A867" s="71">
        <f t="shared" si="27"/>
        <v>97945.599999999977</v>
      </c>
      <c r="B867" s="72">
        <f t="shared" si="26"/>
        <v>-60</v>
      </c>
      <c r="C867" s="70">
        <v>866</v>
      </c>
      <c r="E867" s="66">
        <v>60</v>
      </c>
      <c r="F867" s="85">
        <v>45575</v>
      </c>
      <c r="G867" s="64" t="s">
        <v>44</v>
      </c>
      <c r="H867"/>
      <c r="I867"/>
    </row>
    <row r="868" spans="1:9" x14ac:dyDescent="0.35">
      <c r="A868" s="71">
        <f t="shared" si="27"/>
        <v>97870.599999999977</v>
      </c>
      <c r="B868" s="72">
        <f t="shared" si="26"/>
        <v>-75</v>
      </c>
      <c r="C868" s="70">
        <v>867</v>
      </c>
      <c r="E868" s="66">
        <v>75</v>
      </c>
      <c r="F868" s="85">
        <v>45575</v>
      </c>
      <c r="G868" s="64" t="s">
        <v>484</v>
      </c>
      <c r="H868"/>
      <c r="I868"/>
    </row>
    <row r="869" spans="1:9" x14ac:dyDescent="0.35">
      <c r="A869" s="71">
        <f t="shared" si="27"/>
        <v>97892.599999999977</v>
      </c>
      <c r="B869" s="72">
        <f t="shared" si="26"/>
        <v>22</v>
      </c>
      <c r="C869" s="70">
        <v>868</v>
      </c>
      <c r="D869" s="65">
        <v>22</v>
      </c>
      <c r="F869" s="85">
        <v>45577</v>
      </c>
      <c r="G869" s="64" t="s">
        <v>481</v>
      </c>
      <c r="H869"/>
      <c r="I869"/>
    </row>
    <row r="870" spans="1:9" x14ac:dyDescent="0.35">
      <c r="A870" s="71">
        <f t="shared" si="27"/>
        <v>97432.599999999977</v>
      </c>
      <c r="B870" s="72">
        <f t="shared" si="26"/>
        <v>-460</v>
      </c>
      <c r="C870" s="70">
        <v>869</v>
      </c>
      <c r="E870" s="66">
        <v>460</v>
      </c>
      <c r="F870" s="85">
        <v>45577</v>
      </c>
      <c r="G870" s="64" t="s">
        <v>48</v>
      </c>
      <c r="H870"/>
      <c r="I870"/>
    </row>
    <row r="871" spans="1:9" x14ac:dyDescent="0.35">
      <c r="A871" s="71">
        <f t="shared" si="27"/>
        <v>103327.59999999998</v>
      </c>
      <c r="B871" s="72">
        <f t="shared" si="26"/>
        <v>5895</v>
      </c>
      <c r="C871" s="70">
        <v>870</v>
      </c>
      <c r="D871" s="65">
        <v>6205</v>
      </c>
      <c r="E871" s="66">
        <v>310</v>
      </c>
      <c r="F871" s="85">
        <v>45577</v>
      </c>
      <c r="G871" s="64" t="s">
        <v>486</v>
      </c>
      <c r="H871"/>
      <c r="I871"/>
    </row>
    <row r="872" spans="1:9" x14ac:dyDescent="0.35">
      <c r="A872" s="71">
        <f t="shared" si="27"/>
        <v>103637.59999999998</v>
      </c>
      <c r="B872" s="72">
        <f t="shared" si="26"/>
        <v>310</v>
      </c>
      <c r="C872" s="70">
        <v>871</v>
      </c>
      <c r="D872" s="65">
        <v>310</v>
      </c>
      <c r="F872" s="85">
        <v>45577</v>
      </c>
      <c r="G872" s="64" t="s">
        <v>523</v>
      </c>
      <c r="H872"/>
      <c r="I872"/>
    </row>
    <row r="873" spans="1:9" x14ac:dyDescent="0.35">
      <c r="A873" s="71">
        <f t="shared" si="27"/>
        <v>103562.59999999998</v>
      </c>
      <c r="B873" s="72">
        <f t="shared" si="26"/>
        <v>-75</v>
      </c>
      <c r="C873" s="70">
        <v>872</v>
      </c>
      <c r="E873" s="66">
        <v>75</v>
      </c>
      <c r="F873" s="85">
        <v>45577</v>
      </c>
      <c r="G873" s="64" t="s">
        <v>485</v>
      </c>
      <c r="H873"/>
      <c r="I873"/>
    </row>
    <row r="874" spans="1:9" x14ac:dyDescent="0.35">
      <c r="A874" s="71">
        <f t="shared" si="27"/>
        <v>103462.59999999998</v>
      </c>
      <c r="B874" s="72">
        <f t="shared" si="26"/>
        <v>-100</v>
      </c>
      <c r="C874" s="70">
        <v>873</v>
      </c>
      <c r="E874" s="66">
        <v>100</v>
      </c>
      <c r="F874" s="85">
        <v>45577</v>
      </c>
      <c r="G874" s="64" t="s">
        <v>512</v>
      </c>
      <c r="H874"/>
      <c r="I874"/>
    </row>
    <row r="875" spans="1:9" x14ac:dyDescent="0.35">
      <c r="A875" s="71">
        <f t="shared" si="27"/>
        <v>103462.59999999998</v>
      </c>
      <c r="B875" s="72">
        <f t="shared" si="26"/>
        <v>0</v>
      </c>
      <c r="C875" s="70">
        <v>874</v>
      </c>
      <c r="D875" s="65">
        <v>200</v>
      </c>
      <c r="E875" s="66">
        <v>200</v>
      </c>
      <c r="F875" s="85">
        <v>45577</v>
      </c>
      <c r="G875" s="64" t="s">
        <v>527</v>
      </c>
      <c r="H875"/>
      <c r="I875"/>
    </row>
    <row r="876" spans="1:9" x14ac:dyDescent="0.35">
      <c r="A876" s="71">
        <f t="shared" si="27"/>
        <v>131432.59999999998</v>
      </c>
      <c r="B876" s="72">
        <f t="shared" si="26"/>
        <v>27970</v>
      </c>
      <c r="C876" s="70">
        <v>875</v>
      </c>
      <c r="D876" s="65">
        <v>28195</v>
      </c>
      <c r="E876" s="66">
        <v>225</v>
      </c>
      <c r="F876" s="85">
        <v>45578</v>
      </c>
      <c r="G876" s="64" t="s">
        <v>488</v>
      </c>
      <c r="H876"/>
      <c r="I876"/>
    </row>
    <row r="877" spans="1:9" x14ac:dyDescent="0.35">
      <c r="A877" s="71">
        <f t="shared" si="27"/>
        <v>129732.59999999998</v>
      </c>
      <c r="B877" s="72">
        <f t="shared" si="26"/>
        <v>-1700</v>
      </c>
      <c r="C877" s="70">
        <v>876</v>
      </c>
      <c r="E877" s="66">
        <v>1700</v>
      </c>
      <c r="F877" s="85">
        <v>45578</v>
      </c>
      <c r="G877" s="64" t="s">
        <v>487</v>
      </c>
      <c r="H877"/>
      <c r="I877"/>
    </row>
    <row r="878" spans="1:9" x14ac:dyDescent="0.35">
      <c r="A878" s="71">
        <f t="shared" si="27"/>
        <v>130242.59999999998</v>
      </c>
      <c r="B878" s="72">
        <f t="shared" si="26"/>
        <v>510</v>
      </c>
      <c r="C878" s="70">
        <v>877</v>
      </c>
      <c r="D878" s="65">
        <v>510</v>
      </c>
      <c r="F878" s="85">
        <v>45579</v>
      </c>
      <c r="G878" s="64" t="s">
        <v>12</v>
      </c>
      <c r="H878"/>
      <c r="I878"/>
    </row>
    <row r="879" spans="1:9" x14ac:dyDescent="0.35">
      <c r="A879" s="71">
        <f t="shared" si="27"/>
        <v>138997.59999999998</v>
      </c>
      <c r="B879" s="72">
        <f t="shared" si="26"/>
        <v>8755</v>
      </c>
      <c r="C879" s="70">
        <v>878</v>
      </c>
      <c r="D879" s="65">
        <v>8785</v>
      </c>
      <c r="E879" s="66">
        <v>30</v>
      </c>
      <c r="F879" s="85">
        <v>45580</v>
      </c>
      <c r="G879" s="64" t="s">
        <v>490</v>
      </c>
      <c r="H879"/>
      <c r="I879"/>
    </row>
    <row r="880" spans="1:9" x14ac:dyDescent="0.35">
      <c r="A880" s="71">
        <f t="shared" si="27"/>
        <v>138692.59999999998</v>
      </c>
      <c r="B880" s="72">
        <f t="shared" si="26"/>
        <v>-305</v>
      </c>
      <c r="C880" s="70">
        <v>879</v>
      </c>
      <c r="E880" s="66">
        <v>305</v>
      </c>
      <c r="F880" s="85">
        <v>45580</v>
      </c>
      <c r="G880" s="64" t="s">
        <v>489</v>
      </c>
      <c r="H880"/>
      <c r="I880"/>
    </row>
    <row r="881" spans="1:9" x14ac:dyDescent="0.35">
      <c r="A881" s="71">
        <f t="shared" si="27"/>
        <v>138617.59999999998</v>
      </c>
      <c r="B881" s="72">
        <f t="shared" si="26"/>
        <v>-75</v>
      </c>
      <c r="C881" s="70">
        <v>880</v>
      </c>
      <c r="E881" s="66">
        <v>75</v>
      </c>
      <c r="F881" s="85">
        <v>45580</v>
      </c>
      <c r="G881" s="64" t="s">
        <v>491</v>
      </c>
      <c r="H881"/>
      <c r="I881"/>
    </row>
    <row r="882" spans="1:9" x14ac:dyDescent="0.35">
      <c r="A882" s="71">
        <f t="shared" si="27"/>
        <v>138557.59999999998</v>
      </c>
      <c r="B882" s="72">
        <f t="shared" si="26"/>
        <v>-60</v>
      </c>
      <c r="C882" s="70">
        <v>881</v>
      </c>
      <c r="E882" s="66">
        <v>60</v>
      </c>
      <c r="F882" s="85">
        <v>45580</v>
      </c>
      <c r="G882" s="64" t="s">
        <v>56</v>
      </c>
      <c r="H882"/>
      <c r="I882"/>
    </row>
    <row r="883" spans="1:9" x14ac:dyDescent="0.35">
      <c r="A883" s="71">
        <f t="shared" si="27"/>
        <v>138607.59999999998</v>
      </c>
      <c r="B883" s="72">
        <f t="shared" si="26"/>
        <v>50</v>
      </c>
      <c r="C883" s="70">
        <v>882</v>
      </c>
      <c r="D883" s="65">
        <v>50</v>
      </c>
      <c r="F883" s="85">
        <v>45581</v>
      </c>
      <c r="G883" s="64" t="s">
        <v>492</v>
      </c>
      <c r="H883"/>
      <c r="I883"/>
    </row>
    <row r="884" spans="1:9" x14ac:dyDescent="0.35">
      <c r="A884" s="71">
        <f t="shared" si="27"/>
        <v>147767.59999999998</v>
      </c>
      <c r="B884" s="72">
        <f t="shared" si="26"/>
        <v>9160</v>
      </c>
      <c r="C884" s="70">
        <v>883</v>
      </c>
      <c r="D884" s="65">
        <v>9160</v>
      </c>
      <c r="F884" s="85">
        <v>45581</v>
      </c>
      <c r="G884" s="64" t="s">
        <v>12</v>
      </c>
      <c r="H884"/>
      <c r="I884"/>
    </row>
    <row r="885" spans="1:9" x14ac:dyDescent="0.35">
      <c r="A885" s="71">
        <f t="shared" si="27"/>
        <v>147717.59999999998</v>
      </c>
      <c r="B885" s="72">
        <f t="shared" si="26"/>
        <v>-50</v>
      </c>
      <c r="C885" s="70">
        <v>884</v>
      </c>
      <c r="E885" s="66">
        <v>50</v>
      </c>
      <c r="F885" s="85">
        <v>45582</v>
      </c>
      <c r="G885" s="64" t="s">
        <v>493</v>
      </c>
      <c r="H885"/>
      <c r="I885"/>
    </row>
    <row r="886" spans="1:9" x14ac:dyDescent="0.35">
      <c r="A886" s="71">
        <f t="shared" si="27"/>
        <v>147717.59999999998</v>
      </c>
      <c r="B886" s="72">
        <f t="shared" si="26"/>
        <v>0</v>
      </c>
      <c r="C886" s="70">
        <v>885</v>
      </c>
      <c r="D886" s="65">
        <v>1600</v>
      </c>
      <c r="E886" s="66">
        <v>1600</v>
      </c>
      <c r="F886" s="85">
        <v>45582</v>
      </c>
      <c r="G886" s="64" t="s">
        <v>524</v>
      </c>
      <c r="H886"/>
      <c r="I886"/>
    </row>
    <row r="887" spans="1:9" x14ac:dyDescent="0.35">
      <c r="A887" s="71">
        <f t="shared" si="27"/>
        <v>147717.59999999998</v>
      </c>
      <c r="B887" s="72">
        <f t="shared" si="26"/>
        <v>0</v>
      </c>
      <c r="C887" s="70">
        <v>886</v>
      </c>
      <c r="D887" s="65">
        <v>5000</v>
      </c>
      <c r="E887" s="66">
        <v>5000</v>
      </c>
      <c r="F887" s="85">
        <v>45582</v>
      </c>
      <c r="G887" s="64" t="s">
        <v>525</v>
      </c>
      <c r="H887"/>
      <c r="I887"/>
    </row>
    <row r="888" spans="1:9" x14ac:dyDescent="0.35">
      <c r="A888" s="71">
        <f t="shared" si="27"/>
        <v>149522.59999999998</v>
      </c>
      <c r="B888" s="72">
        <f t="shared" si="26"/>
        <v>1805</v>
      </c>
      <c r="C888" s="70">
        <v>887</v>
      </c>
      <c r="D888" s="65">
        <v>1955</v>
      </c>
      <c r="E888" s="66">
        <v>150</v>
      </c>
      <c r="F888" s="85">
        <v>45582</v>
      </c>
      <c r="G888" s="64" t="s">
        <v>496</v>
      </c>
      <c r="H888"/>
      <c r="I888"/>
    </row>
    <row r="889" spans="1:9" x14ac:dyDescent="0.35">
      <c r="A889" s="71">
        <f t="shared" si="27"/>
        <v>152582.59999999998</v>
      </c>
      <c r="B889" s="72">
        <f t="shared" si="26"/>
        <v>3060</v>
      </c>
      <c r="C889" s="70">
        <v>888</v>
      </c>
      <c r="D889" s="65">
        <v>3060</v>
      </c>
      <c r="F889" s="85">
        <v>45584</v>
      </c>
      <c r="G889" s="64" t="s">
        <v>666</v>
      </c>
      <c r="H889"/>
      <c r="I889"/>
    </row>
    <row r="890" spans="1:9" x14ac:dyDescent="0.35">
      <c r="A890" s="71">
        <f t="shared" si="27"/>
        <v>149522.59999999998</v>
      </c>
      <c r="B890" s="72">
        <f t="shared" si="26"/>
        <v>-3060</v>
      </c>
      <c r="C890" s="70">
        <v>889</v>
      </c>
      <c r="E890" s="66">
        <v>3060</v>
      </c>
      <c r="F890" s="85">
        <v>45584</v>
      </c>
      <c r="G890" s="64" t="s">
        <v>665</v>
      </c>
      <c r="H890"/>
      <c r="I890"/>
    </row>
    <row r="891" spans="1:9" x14ac:dyDescent="0.35">
      <c r="A891" s="71">
        <f t="shared" si="27"/>
        <v>149302.59999999998</v>
      </c>
      <c r="B891" s="72">
        <f t="shared" si="26"/>
        <v>-220</v>
      </c>
      <c r="C891" s="70">
        <v>890</v>
      </c>
      <c r="E891" s="66">
        <v>220</v>
      </c>
      <c r="F891" s="85">
        <v>45582</v>
      </c>
      <c r="G891" s="64" t="s">
        <v>50</v>
      </c>
      <c r="H891"/>
      <c r="I891"/>
    </row>
    <row r="892" spans="1:9" x14ac:dyDescent="0.35">
      <c r="A892" s="71">
        <f t="shared" si="27"/>
        <v>149302.59999999998</v>
      </c>
      <c r="B892" s="72">
        <f t="shared" si="26"/>
        <v>0</v>
      </c>
      <c r="C892" s="70">
        <v>891</v>
      </c>
      <c r="D892" s="65">
        <v>50</v>
      </c>
      <c r="E892" s="66">
        <v>50</v>
      </c>
      <c r="F892" s="85">
        <v>45582</v>
      </c>
      <c r="G892" s="64" t="s">
        <v>543</v>
      </c>
      <c r="H892"/>
      <c r="I892"/>
    </row>
    <row r="893" spans="1:9" x14ac:dyDescent="0.35">
      <c r="A893" s="71">
        <f t="shared" si="27"/>
        <v>149232.59999999998</v>
      </c>
      <c r="B893" s="72">
        <f t="shared" si="26"/>
        <v>-70</v>
      </c>
      <c r="C893" s="70">
        <v>892</v>
      </c>
      <c r="E893" s="66">
        <v>70</v>
      </c>
      <c r="F893" s="85">
        <v>45582</v>
      </c>
      <c r="G893" s="64" t="s">
        <v>495</v>
      </c>
      <c r="H893"/>
      <c r="I893"/>
    </row>
    <row r="894" spans="1:9" x14ac:dyDescent="0.35">
      <c r="A894" s="71">
        <f t="shared" si="27"/>
        <v>149158.59999999998</v>
      </c>
      <c r="B894" s="72">
        <f t="shared" si="26"/>
        <v>-74</v>
      </c>
      <c r="C894" s="70">
        <v>893</v>
      </c>
      <c r="E894" s="66">
        <v>74</v>
      </c>
      <c r="F894" s="85">
        <v>45582</v>
      </c>
      <c r="G894" s="64" t="s">
        <v>131</v>
      </c>
      <c r="H894"/>
      <c r="I894"/>
    </row>
    <row r="895" spans="1:9" x14ac:dyDescent="0.35">
      <c r="A895" s="71">
        <f t="shared" si="27"/>
        <v>149083.59999999998</v>
      </c>
      <c r="B895" s="72">
        <f t="shared" si="26"/>
        <v>-75</v>
      </c>
      <c r="C895" s="70">
        <v>894</v>
      </c>
      <c r="E895" s="66">
        <v>75</v>
      </c>
      <c r="F895" s="85">
        <v>45582</v>
      </c>
      <c r="G895" s="64" t="s">
        <v>497</v>
      </c>
      <c r="H895"/>
      <c r="I895"/>
    </row>
    <row r="896" spans="1:9" x14ac:dyDescent="0.35">
      <c r="A896" s="71">
        <f t="shared" si="27"/>
        <v>151443.59999999998</v>
      </c>
      <c r="B896" s="72">
        <f t="shared" si="26"/>
        <v>2360</v>
      </c>
      <c r="C896" s="70">
        <v>895</v>
      </c>
      <c r="D896" s="65">
        <v>2585</v>
      </c>
      <c r="E896" s="66">
        <v>225</v>
      </c>
      <c r="F896" s="85">
        <v>45584</v>
      </c>
      <c r="G896" s="64" t="s">
        <v>499</v>
      </c>
      <c r="H896"/>
      <c r="I896"/>
    </row>
    <row r="897" spans="1:9" x14ac:dyDescent="0.35">
      <c r="A897" s="71">
        <f t="shared" si="27"/>
        <v>151383.59999999998</v>
      </c>
      <c r="B897" s="72">
        <f t="shared" si="26"/>
        <v>-60</v>
      </c>
      <c r="C897" s="70">
        <v>896</v>
      </c>
      <c r="E897" s="66">
        <v>60</v>
      </c>
      <c r="F897" s="85">
        <v>45584</v>
      </c>
      <c r="G897" s="64" t="s">
        <v>39</v>
      </c>
      <c r="H897"/>
      <c r="I897"/>
    </row>
    <row r="898" spans="1:9" x14ac:dyDescent="0.35">
      <c r="A898" s="71">
        <f t="shared" si="27"/>
        <v>151264.59999999998</v>
      </c>
      <c r="B898" s="72">
        <f t="shared" si="26"/>
        <v>-119</v>
      </c>
      <c r="C898" s="70">
        <v>897</v>
      </c>
      <c r="E898" s="66">
        <v>119</v>
      </c>
      <c r="F898" s="85">
        <v>45584</v>
      </c>
      <c r="G898" s="64" t="s">
        <v>498</v>
      </c>
      <c r="H898"/>
      <c r="I898"/>
    </row>
    <row r="899" spans="1:9" x14ac:dyDescent="0.35">
      <c r="A899" s="71">
        <f t="shared" si="27"/>
        <v>165169.59999999998</v>
      </c>
      <c r="B899" s="72">
        <f t="shared" ref="B899:B962" si="28">SUM(D899-E899)</f>
        <v>13905</v>
      </c>
      <c r="C899" s="70">
        <v>898</v>
      </c>
      <c r="D899" s="65">
        <v>13905</v>
      </c>
      <c r="F899" s="85">
        <v>45585</v>
      </c>
      <c r="G899" s="64" t="s">
        <v>410</v>
      </c>
      <c r="H899"/>
      <c r="I899"/>
    </row>
    <row r="900" spans="1:9" x14ac:dyDescent="0.35">
      <c r="A900" s="71">
        <f t="shared" ref="A900:A963" si="29">SUM(A899+B900)</f>
        <v>165124.59999999998</v>
      </c>
      <c r="B900" s="72">
        <f t="shared" si="28"/>
        <v>-45</v>
      </c>
      <c r="C900" s="70">
        <v>899</v>
      </c>
      <c r="E900" s="66">
        <v>45</v>
      </c>
      <c r="F900" s="85">
        <v>45585</v>
      </c>
      <c r="G900" s="64" t="s">
        <v>88</v>
      </c>
      <c r="H900"/>
      <c r="I900"/>
    </row>
    <row r="901" spans="1:9" x14ac:dyDescent="0.35">
      <c r="A901" s="71">
        <f t="shared" si="29"/>
        <v>165049.59999999998</v>
      </c>
      <c r="B901" s="72">
        <f t="shared" si="28"/>
        <v>-75</v>
      </c>
      <c r="C901" s="70">
        <v>900</v>
      </c>
      <c r="E901" s="66">
        <v>75</v>
      </c>
      <c r="F901" s="85">
        <v>45585</v>
      </c>
      <c r="G901" s="64" t="s">
        <v>500</v>
      </c>
      <c r="H901"/>
      <c r="I901"/>
    </row>
    <row r="902" spans="1:9" x14ac:dyDescent="0.35">
      <c r="A902" s="71">
        <f t="shared" si="29"/>
        <v>164989.59999999998</v>
      </c>
      <c r="B902" s="72">
        <f t="shared" si="28"/>
        <v>-60</v>
      </c>
      <c r="C902" s="70">
        <v>901</v>
      </c>
      <c r="E902" s="66">
        <v>60</v>
      </c>
      <c r="F902" s="85">
        <v>45585</v>
      </c>
      <c r="G902" s="64" t="s">
        <v>20</v>
      </c>
      <c r="H902"/>
      <c r="I902"/>
    </row>
    <row r="903" spans="1:9" x14ac:dyDescent="0.35">
      <c r="A903" s="71">
        <f t="shared" si="29"/>
        <v>163689.59999999998</v>
      </c>
      <c r="B903" s="72">
        <f t="shared" si="28"/>
        <v>-1300</v>
      </c>
      <c r="C903" s="70">
        <v>902</v>
      </c>
      <c r="E903" s="66">
        <v>1300</v>
      </c>
      <c r="F903" s="85">
        <v>45585</v>
      </c>
      <c r="G903" s="64" t="s">
        <v>501</v>
      </c>
      <c r="H903"/>
      <c r="I903"/>
    </row>
    <row r="904" spans="1:9" x14ac:dyDescent="0.35">
      <c r="A904" s="71">
        <f t="shared" si="29"/>
        <v>161689.59999999998</v>
      </c>
      <c r="B904" s="72">
        <f t="shared" si="28"/>
        <v>-2000</v>
      </c>
      <c r="C904" s="70">
        <v>903</v>
      </c>
      <c r="E904" s="66">
        <v>2000</v>
      </c>
      <c r="F904" s="85">
        <v>45585</v>
      </c>
      <c r="G904" s="64" t="s">
        <v>64</v>
      </c>
      <c r="H904"/>
      <c r="I904"/>
    </row>
    <row r="905" spans="1:9" x14ac:dyDescent="0.35">
      <c r="A905" s="71">
        <f t="shared" si="29"/>
        <v>161689.59999999998</v>
      </c>
      <c r="B905" s="72">
        <f t="shared" si="28"/>
        <v>0</v>
      </c>
      <c r="C905" s="70">
        <v>904</v>
      </c>
      <c r="D905" s="65">
        <v>1880</v>
      </c>
      <c r="E905" s="66">
        <v>1880</v>
      </c>
      <c r="F905" s="85">
        <v>45586</v>
      </c>
      <c r="G905" s="64" t="s">
        <v>526</v>
      </c>
      <c r="H905"/>
      <c r="I905"/>
    </row>
    <row r="906" spans="1:9" x14ac:dyDescent="0.35">
      <c r="A906" s="71">
        <f t="shared" si="29"/>
        <v>163579.59999999998</v>
      </c>
      <c r="B906" s="72">
        <f t="shared" si="28"/>
        <v>1890</v>
      </c>
      <c r="C906" s="70">
        <v>905</v>
      </c>
      <c r="D906" s="65">
        <v>2115</v>
      </c>
      <c r="E906" s="66">
        <v>225</v>
      </c>
      <c r="F906" s="85">
        <v>45586</v>
      </c>
      <c r="G906" s="64" t="s">
        <v>502</v>
      </c>
      <c r="H906"/>
      <c r="I906"/>
    </row>
    <row r="907" spans="1:9" x14ac:dyDescent="0.35">
      <c r="A907" s="71">
        <f t="shared" si="29"/>
        <v>163556.59999999998</v>
      </c>
      <c r="B907" s="72">
        <f t="shared" si="28"/>
        <v>-23</v>
      </c>
      <c r="C907" s="70">
        <v>906</v>
      </c>
      <c r="E907" s="66">
        <v>23</v>
      </c>
      <c r="F907" s="85">
        <v>45586</v>
      </c>
      <c r="G907" s="64" t="s">
        <v>36</v>
      </c>
      <c r="H907"/>
      <c r="I907"/>
    </row>
    <row r="908" spans="1:9" x14ac:dyDescent="0.35">
      <c r="A908" s="71">
        <f t="shared" si="29"/>
        <v>163556.59999999998</v>
      </c>
      <c r="B908" s="72">
        <f t="shared" si="28"/>
        <v>0</v>
      </c>
      <c r="C908" s="70">
        <v>907</v>
      </c>
      <c r="D908" s="65">
        <v>100</v>
      </c>
      <c r="E908" s="66">
        <v>100</v>
      </c>
      <c r="F908" s="85">
        <v>45587</v>
      </c>
      <c r="G908" s="64" t="s">
        <v>553</v>
      </c>
      <c r="H908"/>
      <c r="I908"/>
    </row>
    <row r="909" spans="1:9" x14ac:dyDescent="0.35">
      <c r="A909" s="71">
        <f t="shared" si="29"/>
        <v>163581.59999999998</v>
      </c>
      <c r="B909" s="72">
        <f t="shared" si="28"/>
        <v>25</v>
      </c>
      <c r="C909" s="70">
        <v>908</v>
      </c>
      <c r="D909" s="65">
        <v>25</v>
      </c>
      <c r="F909" s="85">
        <v>45587</v>
      </c>
      <c r="G909" s="64" t="s">
        <v>481</v>
      </c>
      <c r="H909"/>
      <c r="I909"/>
    </row>
    <row r="910" spans="1:9" x14ac:dyDescent="0.35">
      <c r="A910" s="71">
        <f t="shared" si="29"/>
        <v>179261.59999999998</v>
      </c>
      <c r="B910" s="72">
        <f t="shared" si="28"/>
        <v>15680</v>
      </c>
      <c r="C910" s="70">
        <v>909</v>
      </c>
      <c r="D910" s="65">
        <v>15740</v>
      </c>
      <c r="E910" s="66">
        <v>60</v>
      </c>
      <c r="F910" s="85">
        <v>45587</v>
      </c>
      <c r="G910" s="64" t="s">
        <v>129</v>
      </c>
      <c r="H910"/>
      <c r="I910"/>
    </row>
    <row r="911" spans="1:9" x14ac:dyDescent="0.35">
      <c r="A911" s="71">
        <f t="shared" si="29"/>
        <v>179186.59999999998</v>
      </c>
      <c r="B911" s="72">
        <f t="shared" si="28"/>
        <v>-75</v>
      </c>
      <c r="C911" s="70">
        <v>910</v>
      </c>
      <c r="E911" s="66">
        <v>75</v>
      </c>
      <c r="F911" s="85">
        <v>45587</v>
      </c>
      <c r="G911" s="64" t="s">
        <v>506</v>
      </c>
      <c r="H911"/>
      <c r="I911"/>
    </row>
    <row r="912" spans="1:9" x14ac:dyDescent="0.35">
      <c r="A912" s="71">
        <f t="shared" si="29"/>
        <v>179116.59999999998</v>
      </c>
      <c r="B912" s="72">
        <f t="shared" si="28"/>
        <v>-70</v>
      </c>
      <c r="C912" s="70">
        <v>911</v>
      </c>
      <c r="E912" s="66">
        <v>70</v>
      </c>
      <c r="F912" s="85">
        <v>45587</v>
      </c>
      <c r="G912" s="64" t="s">
        <v>503</v>
      </c>
      <c r="H912"/>
      <c r="I912"/>
    </row>
    <row r="913" spans="1:9" x14ac:dyDescent="0.35">
      <c r="A913" s="71">
        <f t="shared" si="29"/>
        <v>178856.59999999998</v>
      </c>
      <c r="B913" s="72">
        <f t="shared" si="28"/>
        <v>-260</v>
      </c>
      <c r="C913" s="70">
        <v>912</v>
      </c>
      <c r="E913" s="66">
        <v>260</v>
      </c>
      <c r="F913" s="85">
        <v>45587</v>
      </c>
      <c r="G913" s="64" t="s">
        <v>504</v>
      </c>
      <c r="H913"/>
      <c r="I913"/>
    </row>
    <row r="914" spans="1:9" x14ac:dyDescent="0.35">
      <c r="A914" s="71">
        <f t="shared" si="29"/>
        <v>188781.59999999998</v>
      </c>
      <c r="B914" s="72">
        <f t="shared" si="28"/>
        <v>9925</v>
      </c>
      <c r="C914" s="70">
        <v>913</v>
      </c>
      <c r="D914" s="65">
        <v>9985</v>
      </c>
      <c r="E914" s="66">
        <v>60</v>
      </c>
      <c r="F914" s="85">
        <v>45588</v>
      </c>
      <c r="G914" s="64" t="s">
        <v>58</v>
      </c>
      <c r="H914"/>
      <c r="I914"/>
    </row>
    <row r="915" spans="1:9" x14ac:dyDescent="0.35">
      <c r="A915" s="71">
        <f t="shared" si="29"/>
        <v>188706.59999999998</v>
      </c>
      <c r="B915" s="72">
        <f t="shared" si="28"/>
        <v>-75</v>
      </c>
      <c r="C915" s="70">
        <v>914</v>
      </c>
      <c r="E915" s="66">
        <v>75</v>
      </c>
      <c r="F915" s="85">
        <v>45588</v>
      </c>
      <c r="G915" s="64" t="s">
        <v>505</v>
      </c>
      <c r="H915"/>
      <c r="I915"/>
    </row>
    <row r="916" spans="1:9" x14ac:dyDescent="0.35">
      <c r="A916" s="71">
        <f t="shared" si="29"/>
        <v>188606.59999999998</v>
      </c>
      <c r="B916" s="72">
        <f t="shared" si="28"/>
        <v>-100</v>
      </c>
      <c r="C916" s="70">
        <v>915</v>
      </c>
      <c r="E916" s="66">
        <v>100</v>
      </c>
      <c r="F916" s="85">
        <v>45588</v>
      </c>
      <c r="G916" s="64" t="s">
        <v>513</v>
      </c>
      <c r="H916"/>
      <c r="I916"/>
    </row>
    <row r="917" spans="1:9" x14ac:dyDescent="0.35">
      <c r="A917" s="71">
        <f t="shared" si="29"/>
        <v>88606.599999999977</v>
      </c>
      <c r="B917" s="72">
        <f t="shared" si="28"/>
        <v>-100000</v>
      </c>
      <c r="C917" s="70">
        <v>916</v>
      </c>
      <c r="E917" s="66">
        <v>100000</v>
      </c>
      <c r="F917" s="85">
        <v>45589</v>
      </c>
      <c r="G917" s="64" t="s">
        <v>528</v>
      </c>
      <c r="H917"/>
      <c r="I917"/>
    </row>
    <row r="918" spans="1:9" x14ac:dyDescent="0.35">
      <c r="A918" s="71">
        <f t="shared" si="29"/>
        <v>86406.599999999977</v>
      </c>
      <c r="B918" s="72">
        <f t="shared" si="28"/>
        <v>-2200</v>
      </c>
      <c r="C918" s="70">
        <v>917</v>
      </c>
      <c r="E918" s="66">
        <v>2200</v>
      </c>
      <c r="F918" s="85">
        <v>45589</v>
      </c>
      <c r="G918" s="64" t="s">
        <v>538</v>
      </c>
      <c r="H918"/>
      <c r="I918"/>
    </row>
    <row r="919" spans="1:9" x14ac:dyDescent="0.35">
      <c r="A919" s="71">
        <f t="shared" si="29"/>
        <v>88106.599999999977</v>
      </c>
      <c r="B919" s="72">
        <f t="shared" si="28"/>
        <v>1700</v>
      </c>
      <c r="C919" s="70">
        <v>918</v>
      </c>
      <c r="D919" s="65">
        <v>1780</v>
      </c>
      <c r="E919" s="66">
        <v>80</v>
      </c>
      <c r="F919" s="85">
        <v>45589</v>
      </c>
      <c r="G919" s="64" t="s">
        <v>530</v>
      </c>
      <c r="H919"/>
      <c r="I919"/>
    </row>
    <row r="920" spans="1:9" x14ac:dyDescent="0.35">
      <c r="A920" s="71">
        <f t="shared" si="29"/>
        <v>87956.599999999977</v>
      </c>
      <c r="B920" s="72">
        <f t="shared" si="28"/>
        <v>-150</v>
      </c>
      <c r="C920" s="70">
        <v>919</v>
      </c>
      <c r="E920" s="66">
        <v>150</v>
      </c>
      <c r="F920" s="85">
        <v>45589</v>
      </c>
      <c r="G920" s="64" t="s">
        <v>529</v>
      </c>
      <c r="H920"/>
      <c r="I920"/>
    </row>
    <row r="921" spans="1:9" x14ac:dyDescent="0.35">
      <c r="A921" s="71">
        <f t="shared" si="29"/>
        <v>87056.599999999977</v>
      </c>
      <c r="B921" s="72">
        <f t="shared" si="28"/>
        <v>-900</v>
      </c>
      <c r="C921" s="70">
        <v>920</v>
      </c>
      <c r="E921" s="66">
        <v>900</v>
      </c>
      <c r="F921" s="85">
        <v>45591</v>
      </c>
      <c r="G921" s="64" t="s">
        <v>531</v>
      </c>
      <c r="H921"/>
      <c r="I921"/>
    </row>
    <row r="922" spans="1:9" x14ac:dyDescent="0.35">
      <c r="A922" s="71">
        <f t="shared" si="29"/>
        <v>95096.599999999977</v>
      </c>
      <c r="B922" s="72">
        <f t="shared" si="28"/>
        <v>8040</v>
      </c>
      <c r="C922" s="70">
        <v>921</v>
      </c>
      <c r="D922" s="65">
        <v>8065</v>
      </c>
      <c r="E922" s="66">
        <v>25</v>
      </c>
      <c r="F922" s="85">
        <v>45591</v>
      </c>
      <c r="G922" s="64" t="s">
        <v>532</v>
      </c>
      <c r="H922"/>
      <c r="I922"/>
    </row>
    <row r="923" spans="1:9" x14ac:dyDescent="0.35">
      <c r="A923" s="71">
        <f t="shared" si="29"/>
        <v>95096.599999999977</v>
      </c>
      <c r="B923" s="72">
        <f t="shared" si="28"/>
        <v>0</v>
      </c>
      <c r="C923" s="70">
        <v>922</v>
      </c>
      <c r="D923" s="65">
        <v>100</v>
      </c>
      <c r="E923" s="66">
        <v>100</v>
      </c>
      <c r="F923" s="85">
        <v>45591</v>
      </c>
      <c r="G923" s="64" t="s">
        <v>545</v>
      </c>
      <c r="H923"/>
      <c r="I923"/>
    </row>
    <row r="924" spans="1:9" x14ac:dyDescent="0.35">
      <c r="A924" s="71">
        <f t="shared" si="29"/>
        <v>95066.599999999977</v>
      </c>
      <c r="B924" s="72">
        <f t="shared" si="28"/>
        <v>-30</v>
      </c>
      <c r="C924" s="70">
        <v>923</v>
      </c>
      <c r="E924" s="66">
        <v>30</v>
      </c>
      <c r="F924" s="85">
        <v>45591</v>
      </c>
      <c r="G924" s="64" t="s">
        <v>534</v>
      </c>
      <c r="H924"/>
      <c r="I924"/>
    </row>
    <row r="925" spans="1:9" x14ac:dyDescent="0.35">
      <c r="A925" s="71">
        <f t="shared" si="29"/>
        <v>94991.599999999977</v>
      </c>
      <c r="B925" s="72">
        <f t="shared" si="28"/>
        <v>-75</v>
      </c>
      <c r="C925" s="70">
        <v>924</v>
      </c>
      <c r="E925" s="66">
        <v>75</v>
      </c>
      <c r="F925" s="85">
        <v>45591</v>
      </c>
      <c r="G925" s="64" t="s">
        <v>533</v>
      </c>
      <c r="H925"/>
      <c r="I925"/>
    </row>
    <row r="926" spans="1:9" x14ac:dyDescent="0.35">
      <c r="A926" s="71">
        <f t="shared" si="29"/>
        <v>94841.599999999977</v>
      </c>
      <c r="B926" s="72">
        <f t="shared" si="28"/>
        <v>-150</v>
      </c>
      <c r="C926" s="70">
        <v>925</v>
      </c>
      <c r="E926" s="66">
        <v>150</v>
      </c>
      <c r="F926" s="85">
        <v>45592</v>
      </c>
      <c r="G926" s="64" t="s">
        <v>535</v>
      </c>
      <c r="H926"/>
      <c r="I926"/>
    </row>
    <row r="927" spans="1:9" x14ac:dyDescent="0.35">
      <c r="A927" s="71">
        <f t="shared" si="29"/>
        <v>103781.59999999998</v>
      </c>
      <c r="B927" s="72">
        <f t="shared" si="28"/>
        <v>8940</v>
      </c>
      <c r="C927" s="70">
        <v>926</v>
      </c>
      <c r="D927" s="65">
        <v>9015</v>
      </c>
      <c r="E927" s="66">
        <v>75</v>
      </c>
      <c r="F927" s="85">
        <v>45592</v>
      </c>
      <c r="G927" s="64" t="s">
        <v>536</v>
      </c>
      <c r="H927"/>
      <c r="I927"/>
    </row>
    <row r="928" spans="1:9" x14ac:dyDescent="0.35">
      <c r="A928" s="71">
        <f t="shared" si="29"/>
        <v>103721.59999999998</v>
      </c>
      <c r="B928" s="72">
        <f t="shared" si="28"/>
        <v>-60</v>
      </c>
      <c r="C928" s="70">
        <v>927</v>
      </c>
      <c r="E928" s="66">
        <v>60</v>
      </c>
      <c r="F928" s="85">
        <v>45592</v>
      </c>
      <c r="G928" s="64" t="s">
        <v>100</v>
      </c>
      <c r="H928"/>
      <c r="I928"/>
    </row>
    <row r="929" spans="1:9" x14ac:dyDescent="0.35">
      <c r="A929" s="71">
        <f t="shared" si="29"/>
        <v>103661.59999999998</v>
      </c>
      <c r="B929" s="72">
        <f t="shared" si="28"/>
        <v>-60</v>
      </c>
      <c r="C929" s="70">
        <v>928</v>
      </c>
      <c r="E929" s="66">
        <v>60</v>
      </c>
      <c r="F929" s="85">
        <v>45592</v>
      </c>
      <c r="G929" s="64" t="s">
        <v>62</v>
      </c>
      <c r="H929"/>
      <c r="I929"/>
    </row>
    <row r="930" spans="1:9" x14ac:dyDescent="0.35">
      <c r="A930" s="71">
        <f t="shared" si="29"/>
        <v>103591.59999999998</v>
      </c>
      <c r="B930" s="72">
        <f t="shared" si="28"/>
        <v>-70</v>
      </c>
      <c r="C930" s="70">
        <v>929</v>
      </c>
      <c r="E930" s="66">
        <v>70</v>
      </c>
      <c r="F930" s="85">
        <v>45592</v>
      </c>
      <c r="G930" s="64" t="s">
        <v>503</v>
      </c>
      <c r="H930"/>
      <c r="I930"/>
    </row>
    <row r="931" spans="1:9" x14ac:dyDescent="0.35">
      <c r="A931" s="71">
        <f t="shared" si="29"/>
        <v>106921.59999999998</v>
      </c>
      <c r="B931" s="72">
        <f t="shared" si="28"/>
        <v>3330</v>
      </c>
      <c r="C931" s="70">
        <v>930</v>
      </c>
      <c r="D931" s="65">
        <v>3555</v>
      </c>
      <c r="E931" s="66">
        <v>225</v>
      </c>
      <c r="F931" s="85">
        <v>45593</v>
      </c>
      <c r="G931" s="64" t="s">
        <v>537</v>
      </c>
      <c r="H931"/>
      <c r="I931"/>
    </row>
    <row r="932" spans="1:9" x14ac:dyDescent="0.35">
      <c r="A932" s="71">
        <f t="shared" si="29"/>
        <v>106901.59999999998</v>
      </c>
      <c r="B932" s="72">
        <f t="shared" si="28"/>
        <v>-20</v>
      </c>
      <c r="C932" s="70">
        <v>931</v>
      </c>
      <c r="E932" s="66">
        <v>20</v>
      </c>
      <c r="F932" s="85">
        <v>45593</v>
      </c>
      <c r="G932" s="64" t="s">
        <v>325</v>
      </c>
      <c r="H932"/>
      <c r="I932"/>
    </row>
    <row r="933" spans="1:9" x14ac:dyDescent="0.35">
      <c r="A933" s="71">
        <f t="shared" si="29"/>
        <v>106841.59999999998</v>
      </c>
      <c r="B933" s="72">
        <f t="shared" si="28"/>
        <v>-60</v>
      </c>
      <c r="C933" s="70">
        <v>932</v>
      </c>
      <c r="E933" s="66">
        <v>60</v>
      </c>
      <c r="F933" s="85">
        <v>45593</v>
      </c>
      <c r="G933" s="64" t="s">
        <v>80</v>
      </c>
      <c r="H933"/>
      <c r="I933"/>
    </row>
    <row r="934" spans="1:9" x14ac:dyDescent="0.35">
      <c r="A934" s="71">
        <f t="shared" si="29"/>
        <v>102591.59999999998</v>
      </c>
      <c r="B934" s="72">
        <f t="shared" si="28"/>
        <v>-4250</v>
      </c>
      <c r="C934" s="70">
        <v>933</v>
      </c>
      <c r="E934" s="66">
        <v>4250</v>
      </c>
      <c r="F934" s="85">
        <v>45594</v>
      </c>
      <c r="G934" s="64" t="s">
        <v>539</v>
      </c>
      <c r="H934"/>
      <c r="I934"/>
    </row>
    <row r="935" spans="1:9" x14ac:dyDescent="0.35">
      <c r="A935" s="71">
        <f t="shared" si="29"/>
        <v>132141.59999999998</v>
      </c>
      <c r="B935" s="72">
        <f t="shared" si="28"/>
        <v>29550</v>
      </c>
      <c r="C935" s="70">
        <v>934</v>
      </c>
      <c r="D935" s="65">
        <v>29620</v>
      </c>
      <c r="E935" s="66">
        <v>70</v>
      </c>
      <c r="F935" s="85">
        <v>45594</v>
      </c>
      <c r="G935" s="64" t="s">
        <v>503</v>
      </c>
      <c r="H935"/>
      <c r="I935"/>
    </row>
    <row r="936" spans="1:9" x14ac:dyDescent="0.35">
      <c r="A936" s="71">
        <f t="shared" si="29"/>
        <v>131141.59999999998</v>
      </c>
      <c r="B936" s="72">
        <f t="shared" si="28"/>
        <v>-1000</v>
      </c>
      <c r="C936" s="70">
        <v>935</v>
      </c>
      <c r="E936" s="66">
        <v>1000</v>
      </c>
      <c r="F936" s="85">
        <v>45595</v>
      </c>
      <c r="G936" s="64" t="s">
        <v>24</v>
      </c>
      <c r="H936"/>
      <c r="I936"/>
    </row>
    <row r="937" spans="1:9" x14ac:dyDescent="0.35">
      <c r="A937" s="71">
        <f t="shared" si="29"/>
        <v>145006.59999999998</v>
      </c>
      <c r="B937" s="72">
        <f t="shared" si="28"/>
        <v>13865</v>
      </c>
      <c r="C937" s="70">
        <v>936</v>
      </c>
      <c r="D937" s="65">
        <v>13940</v>
      </c>
      <c r="E937" s="66">
        <v>75</v>
      </c>
      <c r="F937" s="85">
        <v>45595</v>
      </c>
      <c r="G937" s="64" t="s">
        <v>149</v>
      </c>
      <c r="H937"/>
      <c r="I937"/>
    </row>
    <row r="938" spans="1:9" x14ac:dyDescent="0.35">
      <c r="A938" s="71">
        <f t="shared" si="29"/>
        <v>124436.59999999998</v>
      </c>
      <c r="B938" s="72">
        <f t="shared" si="28"/>
        <v>-20570</v>
      </c>
      <c r="C938" s="70">
        <v>937</v>
      </c>
      <c r="E938" s="66">
        <v>20570</v>
      </c>
      <c r="F938" s="85">
        <v>45595</v>
      </c>
      <c r="G938" s="64" t="s">
        <v>540</v>
      </c>
      <c r="H938"/>
      <c r="I938"/>
    </row>
    <row r="939" spans="1:9" x14ac:dyDescent="0.35">
      <c r="A939" s="71">
        <f t="shared" si="29"/>
        <v>123936.59999999998</v>
      </c>
      <c r="B939" s="72">
        <f t="shared" si="28"/>
        <v>-500</v>
      </c>
      <c r="C939" s="70">
        <v>938</v>
      </c>
      <c r="E939" s="66">
        <v>500</v>
      </c>
      <c r="F939" s="85">
        <v>45595</v>
      </c>
      <c r="G939" s="64" t="s">
        <v>541</v>
      </c>
      <c r="H939"/>
      <c r="I939"/>
    </row>
    <row r="940" spans="1:9" x14ac:dyDescent="0.35">
      <c r="A940" s="71">
        <f t="shared" si="29"/>
        <v>123786.59999999998</v>
      </c>
      <c r="B940" s="72">
        <f t="shared" si="28"/>
        <v>-150</v>
      </c>
      <c r="C940" s="70">
        <v>939</v>
      </c>
      <c r="E940" s="66">
        <v>150</v>
      </c>
      <c r="F940" s="85">
        <v>45596</v>
      </c>
      <c r="G940" s="64" t="s">
        <v>542</v>
      </c>
      <c r="H940"/>
      <c r="I940"/>
    </row>
    <row r="941" spans="1:9" x14ac:dyDescent="0.35">
      <c r="A941" s="71">
        <f t="shared" si="29"/>
        <v>60678.599999999977</v>
      </c>
      <c r="B941" s="72">
        <f t="shared" si="28"/>
        <v>-63108</v>
      </c>
      <c r="C941" s="70">
        <v>940</v>
      </c>
      <c r="E941" s="66">
        <v>63108</v>
      </c>
      <c r="F941" s="85">
        <v>45596</v>
      </c>
      <c r="G941" s="64" t="s">
        <v>298</v>
      </c>
      <c r="H941"/>
      <c r="I941"/>
    </row>
    <row r="942" spans="1:9" x14ac:dyDescent="0.35">
      <c r="A942" s="71">
        <f t="shared" si="29"/>
        <v>62978.599999999977</v>
      </c>
      <c r="B942" s="72">
        <f t="shared" si="28"/>
        <v>2300</v>
      </c>
      <c r="C942" s="70">
        <v>941</v>
      </c>
      <c r="D942" s="65">
        <v>2525</v>
      </c>
      <c r="E942" s="66">
        <v>225</v>
      </c>
      <c r="F942" s="85">
        <v>45596</v>
      </c>
      <c r="G942" s="64" t="s">
        <v>546</v>
      </c>
      <c r="H942"/>
      <c r="I942"/>
    </row>
    <row r="943" spans="1:9" x14ac:dyDescent="0.35">
      <c r="A943" s="71">
        <f t="shared" si="29"/>
        <v>62918.599999999977</v>
      </c>
      <c r="B943" s="72">
        <f t="shared" si="28"/>
        <v>-60</v>
      </c>
      <c r="C943" s="70">
        <v>942</v>
      </c>
      <c r="E943" s="66">
        <v>60</v>
      </c>
      <c r="F943" s="85">
        <v>45596</v>
      </c>
      <c r="G943" s="64" t="s">
        <v>127</v>
      </c>
      <c r="H943"/>
      <c r="I943"/>
    </row>
    <row r="944" spans="1:9" x14ac:dyDescent="0.35">
      <c r="A944" s="71">
        <f t="shared" si="29"/>
        <v>62800.599999999977</v>
      </c>
      <c r="B944" s="72">
        <f t="shared" si="28"/>
        <v>-118</v>
      </c>
      <c r="C944" s="70">
        <v>943</v>
      </c>
      <c r="E944" s="66">
        <v>118</v>
      </c>
      <c r="F944" s="85">
        <v>45598</v>
      </c>
      <c r="G944" s="64" t="s">
        <v>548</v>
      </c>
      <c r="H944"/>
      <c r="I944"/>
    </row>
    <row r="945" spans="1:9" x14ac:dyDescent="0.35">
      <c r="A945" s="71">
        <f t="shared" si="29"/>
        <v>62788.599999999977</v>
      </c>
      <c r="B945" s="72">
        <f t="shared" si="28"/>
        <v>-12</v>
      </c>
      <c r="C945" s="70">
        <v>944</v>
      </c>
      <c r="E945" s="66">
        <v>12</v>
      </c>
      <c r="F945" s="85">
        <v>45596</v>
      </c>
      <c r="G945" s="64" t="s">
        <v>549</v>
      </c>
      <c r="H945"/>
      <c r="I945"/>
    </row>
    <row r="946" spans="1:9" x14ac:dyDescent="0.35">
      <c r="A946" s="71">
        <f t="shared" si="29"/>
        <v>73068.599999999977</v>
      </c>
      <c r="B946" s="72">
        <f t="shared" si="28"/>
        <v>10280</v>
      </c>
      <c r="C946" s="70">
        <v>945</v>
      </c>
      <c r="D946" s="65">
        <v>10485</v>
      </c>
      <c r="E946" s="66">
        <v>205</v>
      </c>
      <c r="F946" s="85">
        <v>45598</v>
      </c>
      <c r="G946" s="64" t="s">
        <v>547</v>
      </c>
      <c r="H946"/>
      <c r="I946"/>
    </row>
    <row r="947" spans="1:9" x14ac:dyDescent="0.35">
      <c r="A947" s="71">
        <f t="shared" si="29"/>
        <v>72993.599999999977</v>
      </c>
      <c r="B947" s="72">
        <f t="shared" si="28"/>
        <v>-75</v>
      </c>
      <c r="C947" s="70">
        <v>946</v>
      </c>
      <c r="E947" s="66">
        <v>75</v>
      </c>
      <c r="F947" s="85">
        <v>45598</v>
      </c>
      <c r="G947" s="64" t="s">
        <v>550</v>
      </c>
      <c r="H947"/>
      <c r="I947"/>
    </row>
    <row r="948" spans="1:9" x14ac:dyDescent="0.35">
      <c r="A948" s="71">
        <f t="shared" si="29"/>
        <v>48793.599999999977</v>
      </c>
      <c r="B948" s="72">
        <f t="shared" si="28"/>
        <v>-24200</v>
      </c>
      <c r="C948" s="70">
        <v>947</v>
      </c>
      <c r="E948" s="66">
        <v>24200</v>
      </c>
      <c r="F948" s="85">
        <v>45599</v>
      </c>
      <c r="G948" s="64" t="s">
        <v>15</v>
      </c>
      <c r="H948"/>
      <c r="I948"/>
    </row>
    <row r="949" spans="1:9" x14ac:dyDescent="0.35">
      <c r="A949" s="71">
        <f t="shared" si="29"/>
        <v>51793.599999999977</v>
      </c>
      <c r="B949" s="72">
        <f t="shared" si="28"/>
        <v>3000</v>
      </c>
      <c r="C949" s="70">
        <v>948</v>
      </c>
      <c r="D949" s="65">
        <v>3000</v>
      </c>
      <c r="F949" s="85">
        <v>45599</v>
      </c>
      <c r="G949" s="64" t="s">
        <v>551</v>
      </c>
      <c r="H949"/>
      <c r="I949"/>
    </row>
    <row r="950" spans="1:9" x14ac:dyDescent="0.35">
      <c r="A950" s="71">
        <f t="shared" si="29"/>
        <v>51718.599999999977</v>
      </c>
      <c r="B950" s="72">
        <f t="shared" si="28"/>
        <v>-75</v>
      </c>
      <c r="C950" s="70">
        <v>949</v>
      </c>
      <c r="E950" s="66">
        <v>75</v>
      </c>
      <c r="F950" s="85">
        <v>45599</v>
      </c>
      <c r="G950" s="64" t="s">
        <v>368</v>
      </c>
      <c r="H950"/>
      <c r="I950"/>
    </row>
    <row r="951" spans="1:9" x14ac:dyDescent="0.35">
      <c r="A951" s="71">
        <f t="shared" si="29"/>
        <v>77418.599999999977</v>
      </c>
      <c r="B951" s="72">
        <f t="shared" si="28"/>
        <v>25700</v>
      </c>
      <c r="C951" s="70">
        <v>950</v>
      </c>
      <c r="D951" s="65">
        <v>25775</v>
      </c>
      <c r="E951" s="66">
        <v>75</v>
      </c>
      <c r="F951" s="85">
        <v>45599</v>
      </c>
      <c r="G951" s="64" t="s">
        <v>552</v>
      </c>
      <c r="H951"/>
      <c r="I951"/>
    </row>
    <row r="952" spans="1:9" x14ac:dyDescent="0.35">
      <c r="A952" s="71">
        <f t="shared" si="29"/>
        <v>79838.599999999977</v>
      </c>
      <c r="B952" s="72">
        <f t="shared" si="28"/>
        <v>2420</v>
      </c>
      <c r="C952" s="70">
        <v>951</v>
      </c>
      <c r="D952" s="65">
        <v>2420</v>
      </c>
      <c r="F952" s="85">
        <v>45600</v>
      </c>
      <c r="G952" s="64" t="s">
        <v>12</v>
      </c>
      <c r="H952"/>
      <c r="I952"/>
    </row>
    <row r="953" spans="1:9" x14ac:dyDescent="0.35">
      <c r="A953" s="71">
        <f t="shared" si="29"/>
        <v>79688.599999999977</v>
      </c>
      <c r="B953" s="72">
        <f t="shared" si="28"/>
        <v>-150</v>
      </c>
      <c r="C953" s="70">
        <v>952</v>
      </c>
      <c r="E953" s="66">
        <v>150</v>
      </c>
      <c r="F953" s="85">
        <v>45600</v>
      </c>
      <c r="G953" s="64" t="s">
        <v>448</v>
      </c>
      <c r="H953"/>
      <c r="I953"/>
    </row>
    <row r="954" spans="1:9" x14ac:dyDescent="0.35">
      <c r="A954" s="71">
        <f t="shared" si="29"/>
        <v>60438.599999999977</v>
      </c>
      <c r="B954" s="72">
        <f t="shared" si="28"/>
        <v>-19250</v>
      </c>
      <c r="C954" s="70">
        <v>953</v>
      </c>
      <c r="E954" s="66">
        <v>19250</v>
      </c>
      <c r="F954" s="85">
        <v>45601</v>
      </c>
      <c r="G954" s="64" t="s">
        <v>17</v>
      </c>
      <c r="H954"/>
      <c r="I954"/>
    </row>
    <row r="955" spans="1:9" x14ac:dyDescent="0.35">
      <c r="A955" s="71">
        <f t="shared" si="29"/>
        <v>60048.599999999977</v>
      </c>
      <c r="B955" s="72">
        <f t="shared" si="28"/>
        <v>-390</v>
      </c>
      <c r="C955" s="70">
        <v>954</v>
      </c>
      <c r="E955" s="66">
        <v>390</v>
      </c>
      <c r="F955" s="85">
        <v>45601</v>
      </c>
      <c r="G955" s="64" t="s">
        <v>563</v>
      </c>
      <c r="H955"/>
      <c r="I955"/>
    </row>
    <row r="956" spans="1:9" x14ac:dyDescent="0.35">
      <c r="A956" s="71">
        <f t="shared" si="29"/>
        <v>69658.599999999977</v>
      </c>
      <c r="B956" s="72">
        <f t="shared" si="28"/>
        <v>9610</v>
      </c>
      <c r="C956" s="70">
        <v>955</v>
      </c>
      <c r="D956" s="65">
        <v>9610</v>
      </c>
      <c r="F956" s="85">
        <v>45601</v>
      </c>
      <c r="G956" s="64" t="s">
        <v>12</v>
      </c>
      <c r="H956"/>
      <c r="I956"/>
    </row>
    <row r="957" spans="1:9" x14ac:dyDescent="0.35">
      <c r="A957" s="71">
        <f t="shared" si="29"/>
        <v>69508.599999999977</v>
      </c>
      <c r="B957" s="72">
        <f t="shared" si="28"/>
        <v>-150</v>
      </c>
      <c r="C957" s="70">
        <v>956</v>
      </c>
      <c r="E957" s="66">
        <v>150</v>
      </c>
      <c r="F957" s="85">
        <v>45601</v>
      </c>
      <c r="G957" s="64" t="s">
        <v>554</v>
      </c>
      <c r="H957"/>
      <c r="I957"/>
    </row>
    <row r="958" spans="1:9" x14ac:dyDescent="0.35">
      <c r="A958" s="71">
        <f t="shared" si="29"/>
        <v>69428.599999999977</v>
      </c>
      <c r="B958" s="72">
        <f t="shared" si="28"/>
        <v>-80</v>
      </c>
      <c r="C958" s="70">
        <v>957</v>
      </c>
      <c r="E958" s="66">
        <v>80</v>
      </c>
      <c r="F958" s="85">
        <v>45601</v>
      </c>
      <c r="G958" s="64" t="s">
        <v>400</v>
      </c>
      <c r="H958"/>
      <c r="I958"/>
    </row>
    <row r="959" spans="1:9" x14ac:dyDescent="0.35">
      <c r="A959" s="71">
        <f t="shared" si="29"/>
        <v>69368.599999999977</v>
      </c>
      <c r="B959" s="72">
        <f t="shared" si="28"/>
        <v>-60</v>
      </c>
      <c r="C959" s="70">
        <v>958</v>
      </c>
      <c r="E959" s="66">
        <v>60</v>
      </c>
      <c r="F959" s="85">
        <v>45601</v>
      </c>
      <c r="G959" s="64" t="s">
        <v>182</v>
      </c>
      <c r="H959"/>
      <c r="I959"/>
    </row>
    <row r="960" spans="1:9" x14ac:dyDescent="0.35">
      <c r="A960" s="71">
        <f t="shared" si="29"/>
        <v>69103.599999999977</v>
      </c>
      <c r="B960" s="72">
        <f t="shared" si="28"/>
        <v>-265</v>
      </c>
      <c r="C960" s="70">
        <v>959</v>
      </c>
      <c r="E960" s="66">
        <v>265</v>
      </c>
      <c r="F960" s="85">
        <v>45601</v>
      </c>
      <c r="G960" s="64" t="s">
        <v>1</v>
      </c>
      <c r="H960"/>
      <c r="I960"/>
    </row>
    <row r="961" spans="1:9" x14ac:dyDescent="0.35">
      <c r="A961" s="71">
        <f t="shared" si="29"/>
        <v>75783.599999999977</v>
      </c>
      <c r="B961" s="72">
        <f t="shared" si="28"/>
        <v>6680</v>
      </c>
      <c r="C961" s="70">
        <v>960</v>
      </c>
      <c r="D961" s="65">
        <v>6680</v>
      </c>
      <c r="F961" s="85">
        <v>45602</v>
      </c>
      <c r="G961" s="64" t="s">
        <v>12</v>
      </c>
      <c r="H961"/>
      <c r="I961"/>
    </row>
    <row r="962" spans="1:9" x14ac:dyDescent="0.35">
      <c r="A962" s="71">
        <f t="shared" si="29"/>
        <v>74983.599999999977</v>
      </c>
      <c r="B962" s="72">
        <f t="shared" si="28"/>
        <v>-800</v>
      </c>
      <c r="C962" s="70">
        <v>961</v>
      </c>
      <c r="E962" s="66">
        <v>800</v>
      </c>
      <c r="F962" s="85">
        <v>45602</v>
      </c>
      <c r="G962" s="64" t="s">
        <v>555</v>
      </c>
      <c r="H962"/>
      <c r="I962"/>
    </row>
    <row r="963" spans="1:9" x14ac:dyDescent="0.35">
      <c r="A963" s="71">
        <f t="shared" si="29"/>
        <v>74943.599999999977</v>
      </c>
      <c r="B963" s="72">
        <f t="shared" ref="B963:B1026" si="30">SUM(D963-E963)</f>
        <v>-40</v>
      </c>
      <c r="C963" s="70">
        <v>962</v>
      </c>
      <c r="E963" s="66">
        <v>40</v>
      </c>
      <c r="F963" s="85">
        <v>45602</v>
      </c>
      <c r="G963" s="64" t="s">
        <v>556</v>
      </c>
      <c r="H963"/>
      <c r="I963"/>
    </row>
    <row r="964" spans="1:9" x14ac:dyDescent="0.35">
      <c r="A964" s="71">
        <f t="shared" ref="A964:A1027" si="31">SUM(A963+B964)</f>
        <v>74883.599999999977</v>
      </c>
      <c r="B964" s="72">
        <f t="shared" si="30"/>
        <v>-60</v>
      </c>
      <c r="C964" s="70">
        <v>963</v>
      </c>
      <c r="E964" s="66">
        <v>60</v>
      </c>
      <c r="F964" s="85">
        <v>45602</v>
      </c>
      <c r="G964" s="64" t="s">
        <v>30</v>
      </c>
      <c r="H964"/>
      <c r="I964"/>
    </row>
    <row r="965" spans="1:9" x14ac:dyDescent="0.35">
      <c r="A965" s="71">
        <f t="shared" si="31"/>
        <v>74733.599999999977</v>
      </c>
      <c r="B965" s="72">
        <f t="shared" si="30"/>
        <v>-150</v>
      </c>
      <c r="C965" s="70">
        <v>964</v>
      </c>
      <c r="E965" s="66">
        <v>150</v>
      </c>
      <c r="F965" s="85">
        <v>45602</v>
      </c>
      <c r="G965" s="64" t="s">
        <v>470</v>
      </c>
      <c r="H965"/>
      <c r="I965"/>
    </row>
    <row r="966" spans="1:9" x14ac:dyDescent="0.35">
      <c r="A966" s="71">
        <f t="shared" si="31"/>
        <v>74733.599999999977</v>
      </c>
      <c r="B966" s="72">
        <f t="shared" si="30"/>
        <v>0</v>
      </c>
      <c r="C966" s="70">
        <v>965</v>
      </c>
      <c r="D966" s="65">
        <v>100</v>
      </c>
      <c r="E966" s="66">
        <v>100</v>
      </c>
      <c r="F966" s="85">
        <v>45603</v>
      </c>
      <c r="G966" s="64" t="s">
        <v>567</v>
      </c>
      <c r="H966"/>
      <c r="I966"/>
    </row>
    <row r="967" spans="1:9" x14ac:dyDescent="0.35">
      <c r="A967" s="71">
        <f t="shared" si="31"/>
        <v>76488.599999999977</v>
      </c>
      <c r="B967" s="72">
        <f t="shared" si="30"/>
        <v>1755</v>
      </c>
      <c r="C967" s="70">
        <v>966</v>
      </c>
      <c r="D967" s="65">
        <v>1975</v>
      </c>
      <c r="E967" s="66">
        <v>220</v>
      </c>
      <c r="F967" s="85">
        <v>45603</v>
      </c>
      <c r="G967" s="64" t="s">
        <v>559</v>
      </c>
      <c r="H967"/>
      <c r="I967"/>
    </row>
    <row r="968" spans="1:9" x14ac:dyDescent="0.35">
      <c r="A968" s="71">
        <f t="shared" si="31"/>
        <v>76408.599999999977</v>
      </c>
      <c r="B968" s="72">
        <f t="shared" si="30"/>
        <v>-80</v>
      </c>
      <c r="C968" s="70">
        <v>967</v>
      </c>
      <c r="E968" s="66">
        <v>80</v>
      </c>
      <c r="F968" s="85">
        <v>45603</v>
      </c>
      <c r="G968" s="64" t="s">
        <v>558</v>
      </c>
      <c r="H968"/>
      <c r="I968"/>
    </row>
    <row r="969" spans="1:9" x14ac:dyDescent="0.35">
      <c r="A969" s="71">
        <f t="shared" si="31"/>
        <v>76008.599999999977</v>
      </c>
      <c r="B969" s="72">
        <f t="shared" si="30"/>
        <v>-400</v>
      </c>
      <c r="C969" s="70">
        <v>968</v>
      </c>
      <c r="E969" s="66">
        <v>400</v>
      </c>
      <c r="F969" s="85">
        <v>45603</v>
      </c>
      <c r="G969" s="64" t="s">
        <v>557</v>
      </c>
      <c r="H969"/>
      <c r="I969"/>
    </row>
    <row r="970" spans="1:9" x14ac:dyDescent="0.35">
      <c r="A970" s="71">
        <f t="shared" si="31"/>
        <v>75933.599999999977</v>
      </c>
      <c r="B970" s="72">
        <f t="shared" si="30"/>
        <v>-75</v>
      </c>
      <c r="C970" s="70">
        <v>969</v>
      </c>
      <c r="E970" s="66">
        <v>75</v>
      </c>
      <c r="F970" s="85">
        <v>45603</v>
      </c>
      <c r="G970" s="64" t="s">
        <v>473</v>
      </c>
      <c r="H970"/>
      <c r="I970"/>
    </row>
    <row r="971" spans="1:9" x14ac:dyDescent="0.35">
      <c r="A971" s="71">
        <f t="shared" si="31"/>
        <v>75813.599999999977</v>
      </c>
      <c r="B971" s="72">
        <f t="shared" si="30"/>
        <v>-120</v>
      </c>
      <c r="C971" s="70">
        <v>970</v>
      </c>
      <c r="E971" s="66">
        <v>120</v>
      </c>
      <c r="F971" s="85">
        <v>45603</v>
      </c>
      <c r="G971" s="64" t="s">
        <v>100</v>
      </c>
      <c r="H971"/>
      <c r="I971"/>
    </row>
    <row r="972" spans="1:9" x14ac:dyDescent="0.35">
      <c r="A972" s="71">
        <f t="shared" si="31"/>
        <v>75753.599999999977</v>
      </c>
      <c r="B972" s="72">
        <f t="shared" si="30"/>
        <v>-60</v>
      </c>
      <c r="C972" s="70">
        <v>971</v>
      </c>
      <c r="E972" s="66">
        <v>60</v>
      </c>
      <c r="F972" s="85">
        <v>45603</v>
      </c>
      <c r="G972" s="64" t="s">
        <v>25</v>
      </c>
      <c r="H972"/>
      <c r="I972"/>
    </row>
    <row r="973" spans="1:9" x14ac:dyDescent="0.35">
      <c r="A973" s="71">
        <f t="shared" si="31"/>
        <v>83003.599999999977</v>
      </c>
      <c r="B973" s="72">
        <f t="shared" si="30"/>
        <v>7250</v>
      </c>
      <c r="C973" s="70">
        <v>972</v>
      </c>
      <c r="D973" s="65">
        <v>7250</v>
      </c>
      <c r="F973" s="85">
        <v>45605</v>
      </c>
      <c r="G973" s="64" t="s">
        <v>12</v>
      </c>
      <c r="H973"/>
      <c r="I973"/>
    </row>
    <row r="974" spans="1:9" x14ac:dyDescent="0.35">
      <c r="A974" s="71">
        <f t="shared" si="31"/>
        <v>82478.599999999977</v>
      </c>
      <c r="B974" s="72">
        <f t="shared" si="30"/>
        <v>-525</v>
      </c>
      <c r="C974" s="70">
        <v>973</v>
      </c>
      <c r="E974" s="66">
        <v>525</v>
      </c>
      <c r="F974" s="85">
        <v>45605</v>
      </c>
      <c r="G974" s="64" t="s">
        <v>560</v>
      </c>
      <c r="H974"/>
      <c r="I974"/>
    </row>
    <row r="975" spans="1:9" x14ac:dyDescent="0.35">
      <c r="A975" s="71">
        <f t="shared" si="31"/>
        <v>82393.599999999977</v>
      </c>
      <c r="B975" s="72">
        <f t="shared" si="30"/>
        <v>-85</v>
      </c>
      <c r="C975" s="70">
        <v>974</v>
      </c>
      <c r="E975" s="66">
        <v>85</v>
      </c>
      <c r="F975" s="85">
        <v>45605</v>
      </c>
      <c r="G975" s="64" t="s">
        <v>561</v>
      </c>
      <c r="H975"/>
      <c r="I975"/>
    </row>
    <row r="976" spans="1:9" x14ac:dyDescent="0.35">
      <c r="A976" s="71">
        <f t="shared" si="31"/>
        <v>35603.599999999977</v>
      </c>
      <c r="B976" s="72">
        <f t="shared" si="30"/>
        <v>-46790</v>
      </c>
      <c r="C976" s="70">
        <v>975</v>
      </c>
      <c r="E976" s="66">
        <v>46790</v>
      </c>
      <c r="F976" s="85">
        <v>45606</v>
      </c>
      <c r="G976" s="64" t="s">
        <v>562</v>
      </c>
      <c r="H976"/>
      <c r="I976"/>
    </row>
    <row r="977" spans="1:9" x14ac:dyDescent="0.35">
      <c r="A977" s="71">
        <f t="shared" si="31"/>
        <v>59378.599999999977</v>
      </c>
      <c r="B977" s="72">
        <f t="shared" si="30"/>
        <v>23775</v>
      </c>
      <c r="C977" s="70">
        <v>976</v>
      </c>
      <c r="D977" s="65">
        <v>23775</v>
      </c>
      <c r="F977" s="85">
        <v>45606</v>
      </c>
      <c r="H977"/>
      <c r="I977"/>
    </row>
    <row r="978" spans="1:9" x14ac:dyDescent="0.35">
      <c r="A978" s="71">
        <f t="shared" si="31"/>
        <v>58928.599999999977</v>
      </c>
      <c r="B978" s="72">
        <f t="shared" si="30"/>
        <v>-450</v>
      </c>
      <c r="C978" s="70">
        <v>977</v>
      </c>
      <c r="E978" s="66">
        <v>450</v>
      </c>
      <c r="F978" s="85">
        <v>45606</v>
      </c>
      <c r="G978" s="64" t="s">
        <v>499</v>
      </c>
      <c r="H978"/>
      <c r="I978"/>
    </row>
    <row r="979" spans="1:9" x14ac:dyDescent="0.35">
      <c r="A979" s="71">
        <f t="shared" si="31"/>
        <v>58868.599999999977</v>
      </c>
      <c r="B979" s="72">
        <f t="shared" si="30"/>
        <v>-60</v>
      </c>
      <c r="C979" s="70">
        <v>978</v>
      </c>
      <c r="E979" s="66">
        <v>60</v>
      </c>
      <c r="F979" s="85">
        <v>45606</v>
      </c>
      <c r="G979" s="64" t="s">
        <v>80</v>
      </c>
      <c r="H979"/>
      <c r="I979"/>
    </row>
    <row r="980" spans="1:9" x14ac:dyDescent="0.35">
      <c r="A980" s="71">
        <f t="shared" si="31"/>
        <v>39418.599999999977</v>
      </c>
      <c r="B980" s="72">
        <f t="shared" si="30"/>
        <v>-19450</v>
      </c>
      <c r="C980" s="70">
        <v>979</v>
      </c>
      <c r="E980" s="66">
        <v>19450</v>
      </c>
      <c r="F980" s="85">
        <v>45607</v>
      </c>
      <c r="G980" s="64" t="s">
        <v>565</v>
      </c>
      <c r="H980"/>
      <c r="I980"/>
    </row>
    <row r="981" spans="1:9" x14ac:dyDescent="0.35">
      <c r="A981" s="71">
        <f t="shared" si="31"/>
        <v>39048.599999999977</v>
      </c>
      <c r="B981" s="72">
        <f t="shared" si="30"/>
        <v>-370</v>
      </c>
      <c r="C981" s="70">
        <v>980</v>
      </c>
      <c r="E981" s="66">
        <v>370</v>
      </c>
      <c r="F981" s="85">
        <v>45607</v>
      </c>
      <c r="G981" s="64" t="s">
        <v>48</v>
      </c>
      <c r="H981"/>
      <c r="I981"/>
    </row>
    <row r="982" spans="1:9" x14ac:dyDescent="0.35">
      <c r="A982" s="71">
        <f t="shared" si="31"/>
        <v>38798.599999999977</v>
      </c>
      <c r="B982" s="72">
        <f t="shared" si="30"/>
        <v>-250</v>
      </c>
      <c r="C982" s="70">
        <v>981</v>
      </c>
      <c r="D982" s="65">
        <v>750</v>
      </c>
      <c r="E982" s="66">
        <v>1000</v>
      </c>
      <c r="F982" s="85">
        <v>45607</v>
      </c>
      <c r="G982" s="64" t="s">
        <v>569</v>
      </c>
      <c r="H982"/>
      <c r="I982"/>
    </row>
    <row r="983" spans="1:9" x14ac:dyDescent="0.35">
      <c r="A983" s="71">
        <f t="shared" si="31"/>
        <v>38518.599999999977</v>
      </c>
      <c r="B983" s="72">
        <f t="shared" si="30"/>
        <v>-280</v>
      </c>
      <c r="C983" s="70">
        <v>982</v>
      </c>
      <c r="E983" s="66">
        <v>280</v>
      </c>
      <c r="F983" s="85">
        <v>45607</v>
      </c>
      <c r="G983" s="64" t="s">
        <v>566</v>
      </c>
      <c r="H983"/>
      <c r="I983"/>
    </row>
    <row r="984" spans="1:9" x14ac:dyDescent="0.35">
      <c r="A984" s="71">
        <f t="shared" si="31"/>
        <v>41158.599999999977</v>
      </c>
      <c r="B984" s="72">
        <f t="shared" si="30"/>
        <v>2640</v>
      </c>
      <c r="C984" s="70">
        <v>983</v>
      </c>
      <c r="D984" s="65">
        <v>2715</v>
      </c>
      <c r="E984" s="66">
        <v>75</v>
      </c>
      <c r="F984" s="85">
        <v>45607</v>
      </c>
      <c r="G984" s="64" t="s">
        <v>500</v>
      </c>
      <c r="H984"/>
      <c r="I984"/>
    </row>
    <row r="985" spans="1:9" x14ac:dyDescent="0.35">
      <c r="A985" s="71">
        <f t="shared" si="31"/>
        <v>41138.599999999977</v>
      </c>
      <c r="B985" s="72">
        <f t="shared" si="30"/>
        <v>-20</v>
      </c>
      <c r="C985" s="70">
        <v>984</v>
      </c>
      <c r="E985" s="66">
        <v>20</v>
      </c>
      <c r="F985" s="85">
        <v>45607</v>
      </c>
      <c r="G985" s="64" t="s">
        <v>243</v>
      </c>
      <c r="H985"/>
      <c r="I985"/>
    </row>
    <row r="986" spans="1:9" x14ac:dyDescent="0.35">
      <c r="A986" s="71">
        <f t="shared" si="31"/>
        <v>41018.599999999977</v>
      </c>
      <c r="B986" s="72">
        <f t="shared" si="30"/>
        <v>-120</v>
      </c>
      <c r="C986" s="70">
        <v>985</v>
      </c>
      <c r="E986" s="66">
        <v>120</v>
      </c>
      <c r="F986" s="85">
        <v>45607</v>
      </c>
      <c r="G986" s="64" t="s">
        <v>568</v>
      </c>
      <c r="H986"/>
      <c r="I986"/>
    </row>
    <row r="987" spans="1:9" x14ac:dyDescent="0.35">
      <c r="A987" s="71">
        <f t="shared" si="31"/>
        <v>39128.599999999977</v>
      </c>
      <c r="B987" s="72">
        <f t="shared" si="30"/>
        <v>-1890</v>
      </c>
      <c r="C987" s="70">
        <v>986</v>
      </c>
      <c r="E987" s="66">
        <v>1890</v>
      </c>
      <c r="F987" s="85">
        <v>45608</v>
      </c>
      <c r="G987" s="64" t="s">
        <v>577</v>
      </c>
      <c r="H987"/>
      <c r="I987"/>
    </row>
    <row r="988" spans="1:9" x14ac:dyDescent="0.35">
      <c r="A988" s="71">
        <f t="shared" si="31"/>
        <v>39060.599999999977</v>
      </c>
      <c r="B988" s="72">
        <f t="shared" si="30"/>
        <v>-68</v>
      </c>
      <c r="C988" s="70">
        <v>987</v>
      </c>
      <c r="E988" s="66">
        <v>68</v>
      </c>
      <c r="F988" s="85">
        <v>45608</v>
      </c>
      <c r="G988" s="64" t="s">
        <v>570</v>
      </c>
      <c r="H988"/>
      <c r="I988"/>
    </row>
    <row r="989" spans="1:9" x14ac:dyDescent="0.35">
      <c r="A989" s="71">
        <f t="shared" si="31"/>
        <v>65195.599999999977</v>
      </c>
      <c r="B989" s="72">
        <f t="shared" si="30"/>
        <v>26135</v>
      </c>
      <c r="C989" s="70">
        <v>988</v>
      </c>
      <c r="D989" s="65">
        <v>26135</v>
      </c>
      <c r="F989" s="85">
        <v>45608</v>
      </c>
      <c r="G989" s="64" t="s">
        <v>12</v>
      </c>
      <c r="H989"/>
      <c r="I989"/>
    </row>
    <row r="990" spans="1:9" x14ac:dyDescent="0.35">
      <c r="A990" s="71">
        <f t="shared" si="31"/>
        <v>65065.599999999977</v>
      </c>
      <c r="B990" s="72">
        <f t="shared" si="30"/>
        <v>-130</v>
      </c>
      <c r="C990" s="70">
        <v>989</v>
      </c>
      <c r="E990" s="66">
        <v>130</v>
      </c>
      <c r="F990" s="85">
        <v>45608</v>
      </c>
      <c r="G990" s="64" t="s">
        <v>250</v>
      </c>
      <c r="H990"/>
      <c r="I990"/>
    </row>
    <row r="991" spans="1:9" x14ac:dyDescent="0.35">
      <c r="A991" s="71">
        <f t="shared" si="31"/>
        <v>62015.599999999977</v>
      </c>
      <c r="B991" s="72">
        <f t="shared" si="30"/>
        <v>-3050</v>
      </c>
      <c r="C991" s="70">
        <v>990</v>
      </c>
      <c r="E991" s="66">
        <v>3050</v>
      </c>
      <c r="F991" s="85">
        <v>45608</v>
      </c>
      <c r="G991" s="64" t="s">
        <v>571</v>
      </c>
      <c r="H991"/>
      <c r="I991"/>
    </row>
    <row r="992" spans="1:9" x14ac:dyDescent="0.35">
      <c r="A992" s="71">
        <f t="shared" si="31"/>
        <v>80755.599999999977</v>
      </c>
      <c r="B992" s="72">
        <f t="shared" si="30"/>
        <v>18740</v>
      </c>
      <c r="C992" s="70">
        <v>991</v>
      </c>
      <c r="D992" s="65">
        <v>18825</v>
      </c>
      <c r="E992" s="66">
        <v>85</v>
      </c>
      <c r="F992" s="85">
        <v>45609</v>
      </c>
      <c r="G992" s="64" t="s">
        <v>572</v>
      </c>
      <c r="H992"/>
      <c r="I992"/>
    </row>
    <row r="993" spans="1:9" x14ac:dyDescent="0.35">
      <c r="A993" s="71">
        <f t="shared" si="31"/>
        <v>60755.599999999977</v>
      </c>
      <c r="B993" s="72">
        <f t="shared" si="30"/>
        <v>-20000</v>
      </c>
      <c r="C993" s="70">
        <v>992</v>
      </c>
      <c r="E993" s="66">
        <v>20000</v>
      </c>
      <c r="F993" s="85">
        <v>45610</v>
      </c>
      <c r="G993" s="64" t="s">
        <v>135</v>
      </c>
      <c r="H993"/>
      <c r="I993"/>
    </row>
    <row r="994" spans="1:9" x14ac:dyDescent="0.35">
      <c r="A994" s="71">
        <f t="shared" si="31"/>
        <v>59360.599999999977</v>
      </c>
      <c r="B994" s="72">
        <f t="shared" si="30"/>
        <v>-1395</v>
      </c>
      <c r="C994" s="70">
        <v>993</v>
      </c>
      <c r="D994" s="65">
        <v>285</v>
      </c>
      <c r="E994" s="66">
        <v>1680</v>
      </c>
      <c r="F994" s="85">
        <v>45610</v>
      </c>
      <c r="G994" s="64" t="s">
        <v>576</v>
      </c>
      <c r="H994"/>
      <c r="I994"/>
    </row>
    <row r="995" spans="1:9" x14ac:dyDescent="0.35">
      <c r="A995" s="71">
        <f t="shared" si="31"/>
        <v>59275.599999999977</v>
      </c>
      <c r="B995" s="72">
        <f t="shared" si="30"/>
        <v>-85</v>
      </c>
      <c r="C995" s="70">
        <v>994</v>
      </c>
      <c r="E995" s="66">
        <v>85</v>
      </c>
      <c r="F995" s="85">
        <v>45610</v>
      </c>
      <c r="G995" s="64" t="s">
        <v>573</v>
      </c>
      <c r="H995"/>
      <c r="I995"/>
    </row>
    <row r="996" spans="1:9" x14ac:dyDescent="0.35">
      <c r="A996" s="71">
        <f t="shared" si="31"/>
        <v>64845.599999999977</v>
      </c>
      <c r="B996" s="72">
        <f t="shared" si="30"/>
        <v>5570</v>
      </c>
      <c r="C996" s="70">
        <v>995</v>
      </c>
      <c r="D996" s="65">
        <v>5570</v>
      </c>
      <c r="F996" s="85">
        <v>45612</v>
      </c>
      <c r="G996" s="64" t="s">
        <v>12</v>
      </c>
      <c r="H996"/>
      <c r="I996"/>
    </row>
    <row r="997" spans="1:9" x14ac:dyDescent="0.35">
      <c r="A997" s="71">
        <f t="shared" si="31"/>
        <v>64545.599999999977</v>
      </c>
      <c r="B997" s="72">
        <f t="shared" si="30"/>
        <v>-300</v>
      </c>
      <c r="C997" s="70">
        <v>996</v>
      </c>
      <c r="E997" s="66">
        <v>300</v>
      </c>
      <c r="F997" s="85">
        <v>45612</v>
      </c>
      <c r="G997" s="64" t="s">
        <v>506</v>
      </c>
      <c r="H997"/>
      <c r="I997"/>
    </row>
    <row r="998" spans="1:9" x14ac:dyDescent="0.35">
      <c r="A998" s="71">
        <f t="shared" si="31"/>
        <v>85495.599999999977</v>
      </c>
      <c r="B998" s="72">
        <f t="shared" si="30"/>
        <v>20950</v>
      </c>
      <c r="C998" s="70">
        <v>997</v>
      </c>
      <c r="D998" s="65">
        <v>21350</v>
      </c>
      <c r="E998" s="66">
        <v>400</v>
      </c>
      <c r="F998" s="85">
        <v>45613</v>
      </c>
      <c r="G998" s="64" t="s">
        <v>120</v>
      </c>
      <c r="H998"/>
      <c r="I998"/>
    </row>
    <row r="999" spans="1:9" x14ac:dyDescent="0.35">
      <c r="A999" s="71">
        <f t="shared" si="31"/>
        <v>85495.599999999977</v>
      </c>
      <c r="B999" s="72">
        <f t="shared" si="30"/>
        <v>0</v>
      </c>
      <c r="C999" s="70">
        <v>998</v>
      </c>
      <c r="D999" s="65">
        <v>200</v>
      </c>
      <c r="E999" s="66">
        <v>200</v>
      </c>
      <c r="F999" s="85">
        <v>45613</v>
      </c>
      <c r="G999" s="64" t="s">
        <v>610</v>
      </c>
      <c r="H999"/>
      <c r="I999"/>
    </row>
    <row r="1000" spans="1:9" x14ac:dyDescent="0.35">
      <c r="A1000" s="71">
        <f t="shared" si="31"/>
        <v>85345.599999999977</v>
      </c>
      <c r="B1000" s="72">
        <f t="shared" si="30"/>
        <v>-150</v>
      </c>
      <c r="C1000" s="70">
        <v>999</v>
      </c>
      <c r="E1000" s="66">
        <v>150</v>
      </c>
      <c r="F1000" s="85">
        <v>45613</v>
      </c>
      <c r="G1000" s="64" t="s">
        <v>575</v>
      </c>
      <c r="H1000"/>
      <c r="I1000"/>
    </row>
    <row r="1001" spans="1:9" x14ac:dyDescent="0.35">
      <c r="A1001" s="71">
        <f t="shared" si="31"/>
        <v>85260.599999999977</v>
      </c>
      <c r="B1001" s="72">
        <f t="shared" si="30"/>
        <v>-85</v>
      </c>
      <c r="C1001" s="70">
        <v>1000</v>
      </c>
      <c r="E1001" s="66">
        <v>85</v>
      </c>
      <c r="F1001" s="85">
        <v>45613</v>
      </c>
      <c r="G1001" s="64" t="s">
        <v>574</v>
      </c>
      <c r="H1001"/>
      <c r="I1001"/>
    </row>
    <row r="1002" spans="1:9" x14ac:dyDescent="0.35">
      <c r="A1002" s="71">
        <f t="shared" si="31"/>
        <v>88350.599999999977</v>
      </c>
      <c r="B1002" s="72">
        <f t="shared" si="30"/>
        <v>3090</v>
      </c>
      <c r="C1002" s="70">
        <v>1001</v>
      </c>
      <c r="D1002" s="65">
        <v>3840</v>
      </c>
      <c r="E1002" s="66">
        <v>750</v>
      </c>
      <c r="F1002" s="85">
        <v>45614</v>
      </c>
      <c r="G1002" s="64" t="s">
        <v>580</v>
      </c>
      <c r="H1002"/>
      <c r="I1002"/>
    </row>
    <row r="1003" spans="1:9" x14ac:dyDescent="0.35">
      <c r="A1003" s="71">
        <f t="shared" si="31"/>
        <v>86470.599999999977</v>
      </c>
      <c r="B1003" s="72">
        <f t="shared" si="30"/>
        <v>-1880</v>
      </c>
      <c r="C1003" s="70">
        <v>1002</v>
      </c>
      <c r="E1003" s="66">
        <v>1880</v>
      </c>
      <c r="F1003" s="85">
        <v>45614</v>
      </c>
      <c r="G1003" s="64" t="s">
        <v>578</v>
      </c>
      <c r="H1003"/>
      <c r="I1003"/>
    </row>
    <row r="1004" spans="1:9" x14ac:dyDescent="0.35">
      <c r="A1004" s="71">
        <f t="shared" si="31"/>
        <v>83720.599999999977</v>
      </c>
      <c r="B1004" s="72">
        <f t="shared" si="30"/>
        <v>-2750</v>
      </c>
      <c r="C1004" s="70">
        <v>1003</v>
      </c>
      <c r="E1004" s="66">
        <v>2750</v>
      </c>
      <c r="F1004" s="85">
        <v>45614</v>
      </c>
      <c r="G1004" s="64" t="s">
        <v>579</v>
      </c>
      <c r="H1004"/>
      <c r="I1004"/>
    </row>
    <row r="1005" spans="1:9" x14ac:dyDescent="0.35">
      <c r="A1005" s="71">
        <f t="shared" si="31"/>
        <v>83400.599999999977</v>
      </c>
      <c r="B1005" s="72">
        <f t="shared" si="30"/>
        <v>-320</v>
      </c>
      <c r="C1005" s="70">
        <v>1004</v>
      </c>
      <c r="E1005" s="66">
        <v>320</v>
      </c>
      <c r="F1005" s="85">
        <v>45614</v>
      </c>
      <c r="G1005" s="64" t="s">
        <v>75</v>
      </c>
      <c r="H1005"/>
      <c r="I1005"/>
    </row>
    <row r="1006" spans="1:9" x14ac:dyDescent="0.35">
      <c r="A1006" s="71">
        <f t="shared" si="31"/>
        <v>82900.599999999977</v>
      </c>
      <c r="B1006" s="72">
        <f t="shared" si="30"/>
        <v>-500</v>
      </c>
      <c r="C1006" s="70">
        <v>1005</v>
      </c>
      <c r="E1006" s="66">
        <v>500</v>
      </c>
      <c r="F1006" s="85">
        <v>45614</v>
      </c>
      <c r="G1006" s="64" t="s">
        <v>581</v>
      </c>
      <c r="H1006"/>
      <c r="I1006"/>
    </row>
    <row r="1007" spans="1:9" x14ac:dyDescent="0.35">
      <c r="A1007" s="71">
        <f t="shared" si="31"/>
        <v>105325.59999999998</v>
      </c>
      <c r="B1007" s="72">
        <f t="shared" si="30"/>
        <v>22425</v>
      </c>
      <c r="C1007" s="70">
        <v>1006</v>
      </c>
      <c r="D1007" s="65">
        <v>22500</v>
      </c>
      <c r="E1007" s="66">
        <v>75</v>
      </c>
      <c r="F1007" s="85">
        <v>45615</v>
      </c>
      <c r="G1007" s="64" t="s">
        <v>584</v>
      </c>
      <c r="H1007"/>
      <c r="I1007"/>
    </row>
    <row r="1008" spans="1:9" x14ac:dyDescent="0.35">
      <c r="A1008" s="71">
        <f t="shared" si="31"/>
        <v>100325.59999999998</v>
      </c>
      <c r="B1008" s="72">
        <f t="shared" si="30"/>
        <v>-5000</v>
      </c>
      <c r="C1008" s="70">
        <v>1007</v>
      </c>
      <c r="E1008" s="66">
        <v>5000</v>
      </c>
      <c r="F1008" s="85">
        <v>45616</v>
      </c>
      <c r="G1008" s="64" t="s">
        <v>582</v>
      </c>
      <c r="H1008"/>
      <c r="I1008"/>
    </row>
    <row r="1009" spans="1:9" x14ac:dyDescent="0.35">
      <c r="A1009" s="71">
        <f t="shared" si="31"/>
        <v>100275.59999999998</v>
      </c>
      <c r="B1009" s="72">
        <f t="shared" si="30"/>
        <v>-50</v>
      </c>
      <c r="C1009" s="70">
        <v>1008</v>
      </c>
      <c r="E1009" s="66">
        <v>50</v>
      </c>
      <c r="F1009" s="85">
        <v>45616</v>
      </c>
      <c r="G1009" s="64" t="s">
        <v>583</v>
      </c>
      <c r="H1009"/>
      <c r="I1009"/>
    </row>
    <row r="1010" spans="1:9" x14ac:dyDescent="0.35">
      <c r="A1010" s="71">
        <f t="shared" si="31"/>
        <v>100255.59999999998</v>
      </c>
      <c r="B1010" s="72">
        <f t="shared" si="30"/>
        <v>-20</v>
      </c>
      <c r="C1010" s="70">
        <v>1009</v>
      </c>
      <c r="E1010" s="66">
        <v>20</v>
      </c>
      <c r="F1010" s="85">
        <v>45616</v>
      </c>
      <c r="G1010" s="64" t="s">
        <v>325</v>
      </c>
      <c r="H1010"/>
      <c r="I1010"/>
    </row>
    <row r="1011" spans="1:9" x14ac:dyDescent="0.35">
      <c r="A1011" s="71">
        <f t="shared" si="31"/>
        <v>100170.59999999998</v>
      </c>
      <c r="B1011" s="72">
        <f t="shared" si="30"/>
        <v>-85</v>
      </c>
      <c r="C1011" s="70">
        <v>1010</v>
      </c>
      <c r="E1011" s="66">
        <v>85</v>
      </c>
      <c r="F1011" s="85">
        <v>45615</v>
      </c>
      <c r="G1011" s="64" t="s">
        <v>400</v>
      </c>
      <c r="H1011"/>
      <c r="I1011"/>
    </row>
    <row r="1012" spans="1:9" x14ac:dyDescent="0.35">
      <c r="A1012" s="71">
        <f t="shared" si="31"/>
        <v>110350.59999999998</v>
      </c>
      <c r="B1012" s="72">
        <f t="shared" si="30"/>
        <v>10180</v>
      </c>
      <c r="C1012" s="70">
        <v>1011</v>
      </c>
      <c r="D1012" s="65">
        <v>10330</v>
      </c>
      <c r="E1012" s="66">
        <v>150</v>
      </c>
      <c r="F1012" s="85">
        <v>45616</v>
      </c>
      <c r="G1012" s="64" t="s">
        <v>536</v>
      </c>
      <c r="H1012"/>
      <c r="I1012"/>
    </row>
    <row r="1013" spans="1:9" x14ac:dyDescent="0.35">
      <c r="A1013" s="71">
        <f t="shared" si="31"/>
        <v>100350.59999999998</v>
      </c>
      <c r="B1013" s="72">
        <f t="shared" si="30"/>
        <v>-10000</v>
      </c>
      <c r="C1013" s="70">
        <v>1012</v>
      </c>
      <c r="E1013" s="66">
        <v>10000</v>
      </c>
      <c r="F1013" s="85">
        <v>45616</v>
      </c>
      <c r="G1013" s="64" t="s">
        <v>135</v>
      </c>
      <c r="H1013"/>
      <c r="I1013"/>
    </row>
    <row r="1014" spans="1:9" x14ac:dyDescent="0.35">
      <c r="A1014" s="71">
        <f t="shared" si="31"/>
        <v>97250.599999999977</v>
      </c>
      <c r="B1014" s="72">
        <f t="shared" si="30"/>
        <v>-3100</v>
      </c>
      <c r="C1014" s="70">
        <v>1013</v>
      </c>
      <c r="E1014" s="66">
        <v>3100</v>
      </c>
      <c r="F1014" s="85">
        <v>45617</v>
      </c>
      <c r="G1014" s="64" t="s">
        <v>585</v>
      </c>
      <c r="H1014"/>
      <c r="I1014"/>
    </row>
    <row r="1015" spans="1:9" x14ac:dyDescent="0.35">
      <c r="A1015" s="71">
        <f t="shared" si="31"/>
        <v>97080.599999999977</v>
      </c>
      <c r="B1015" s="72">
        <f t="shared" si="30"/>
        <v>-170</v>
      </c>
      <c r="C1015" s="70">
        <v>1014</v>
      </c>
      <c r="E1015" s="66">
        <v>170</v>
      </c>
      <c r="F1015" s="85">
        <v>45616</v>
      </c>
      <c r="G1015" s="64" t="s">
        <v>400</v>
      </c>
      <c r="H1015"/>
      <c r="I1015"/>
    </row>
    <row r="1016" spans="1:9" x14ac:dyDescent="0.35">
      <c r="A1016" s="71">
        <f t="shared" si="31"/>
        <v>97043.599999999977</v>
      </c>
      <c r="B1016" s="72">
        <f t="shared" si="30"/>
        <v>-37</v>
      </c>
      <c r="C1016" s="70">
        <v>1015</v>
      </c>
      <c r="E1016" s="66">
        <v>37</v>
      </c>
      <c r="F1016" s="85">
        <v>45616</v>
      </c>
      <c r="G1016" s="64" t="s">
        <v>99</v>
      </c>
      <c r="H1016"/>
      <c r="I1016"/>
    </row>
    <row r="1017" spans="1:9" x14ac:dyDescent="0.35">
      <c r="A1017" s="71">
        <f t="shared" si="31"/>
        <v>99283.599999999977</v>
      </c>
      <c r="B1017" s="72">
        <f t="shared" si="30"/>
        <v>2240</v>
      </c>
      <c r="C1017" s="70">
        <v>1016</v>
      </c>
      <c r="D1017" s="65">
        <v>2315</v>
      </c>
      <c r="E1017" s="66">
        <v>75</v>
      </c>
      <c r="F1017" s="85">
        <v>45617</v>
      </c>
      <c r="G1017" s="64" t="s">
        <v>586</v>
      </c>
      <c r="H1017"/>
      <c r="I1017"/>
    </row>
    <row r="1018" spans="1:9" x14ac:dyDescent="0.35">
      <c r="A1018" s="71">
        <f t="shared" si="31"/>
        <v>99223.599999999977</v>
      </c>
      <c r="B1018" s="72">
        <f t="shared" si="30"/>
        <v>-60</v>
      </c>
      <c r="C1018" s="70">
        <v>1017</v>
      </c>
      <c r="E1018" s="66">
        <v>60</v>
      </c>
      <c r="F1018" s="85">
        <v>45617</v>
      </c>
      <c r="G1018" s="64" t="s">
        <v>137</v>
      </c>
      <c r="H1018"/>
      <c r="I1018"/>
    </row>
    <row r="1019" spans="1:9" x14ac:dyDescent="0.35">
      <c r="A1019" s="71">
        <f t="shared" si="31"/>
        <v>99104.599999999977</v>
      </c>
      <c r="B1019" s="72">
        <f t="shared" si="30"/>
        <v>-119</v>
      </c>
      <c r="C1019" s="70">
        <v>1018</v>
      </c>
      <c r="E1019" s="66">
        <v>119</v>
      </c>
      <c r="F1019" s="85">
        <v>45617</v>
      </c>
      <c r="G1019" s="64" t="s">
        <v>65</v>
      </c>
      <c r="H1019"/>
      <c r="I1019"/>
    </row>
    <row r="1020" spans="1:9" x14ac:dyDescent="0.35">
      <c r="A1020" s="71">
        <f t="shared" si="31"/>
        <v>108584.59999999998</v>
      </c>
      <c r="B1020" s="72">
        <f t="shared" si="30"/>
        <v>9480</v>
      </c>
      <c r="C1020" s="70">
        <v>1019</v>
      </c>
      <c r="D1020" s="65">
        <v>9855</v>
      </c>
      <c r="E1020" s="66">
        <v>375</v>
      </c>
      <c r="F1020" s="85">
        <v>45619</v>
      </c>
      <c r="G1020" s="64" t="s">
        <v>587</v>
      </c>
      <c r="H1020"/>
      <c r="I1020"/>
    </row>
    <row r="1021" spans="1:9" x14ac:dyDescent="0.35">
      <c r="A1021" s="71">
        <f t="shared" si="31"/>
        <v>107384.59999999998</v>
      </c>
      <c r="B1021" s="72">
        <f t="shared" si="30"/>
        <v>-1200</v>
      </c>
      <c r="C1021" s="70">
        <v>1020</v>
      </c>
      <c r="E1021" s="66">
        <v>1200</v>
      </c>
      <c r="F1021" s="85">
        <v>45619</v>
      </c>
      <c r="G1021" s="64" t="s">
        <v>589</v>
      </c>
      <c r="H1021"/>
      <c r="I1021"/>
    </row>
    <row r="1022" spans="1:9" x14ac:dyDescent="0.35">
      <c r="A1022" s="71">
        <f t="shared" si="31"/>
        <v>107164.59999999998</v>
      </c>
      <c r="B1022" s="72">
        <f t="shared" si="30"/>
        <v>-220</v>
      </c>
      <c r="C1022" s="70">
        <v>1021</v>
      </c>
      <c r="E1022" s="66">
        <v>220</v>
      </c>
      <c r="F1022" s="85">
        <v>45619</v>
      </c>
      <c r="G1022" s="64" t="s">
        <v>50</v>
      </c>
      <c r="H1022"/>
      <c r="I1022"/>
    </row>
    <row r="1023" spans="1:9" x14ac:dyDescent="0.35">
      <c r="A1023" s="71">
        <f t="shared" si="31"/>
        <v>107004.59999999998</v>
      </c>
      <c r="B1023" s="72">
        <f t="shared" si="30"/>
        <v>-160</v>
      </c>
      <c r="C1023" s="70">
        <v>1022</v>
      </c>
      <c r="E1023" s="66">
        <v>160</v>
      </c>
      <c r="F1023" s="85">
        <v>45619</v>
      </c>
      <c r="G1023" s="64" t="s">
        <v>588</v>
      </c>
      <c r="H1023"/>
      <c r="I1023"/>
    </row>
    <row r="1024" spans="1:9" x14ac:dyDescent="0.35">
      <c r="A1024" s="71">
        <f t="shared" si="31"/>
        <v>107004.59999999998</v>
      </c>
      <c r="B1024" s="72">
        <f t="shared" si="30"/>
        <v>0</v>
      </c>
      <c r="C1024" s="70">
        <v>1023</v>
      </c>
      <c r="D1024" s="65">
        <v>100</v>
      </c>
      <c r="E1024" s="66">
        <v>100</v>
      </c>
      <c r="F1024" s="85">
        <v>45619</v>
      </c>
      <c r="G1024" s="64" t="s">
        <v>592</v>
      </c>
      <c r="H1024"/>
      <c r="I1024"/>
    </row>
    <row r="1025" spans="1:9" x14ac:dyDescent="0.35">
      <c r="A1025" s="71">
        <f t="shared" si="31"/>
        <v>106154.59999999998</v>
      </c>
      <c r="B1025" s="72">
        <f t="shared" si="30"/>
        <v>-850</v>
      </c>
      <c r="C1025" s="70">
        <v>1024</v>
      </c>
      <c r="E1025" s="66">
        <v>850</v>
      </c>
      <c r="F1025" s="85">
        <v>45620</v>
      </c>
      <c r="G1025" s="64" t="s">
        <v>590</v>
      </c>
      <c r="H1025"/>
      <c r="I1025"/>
    </row>
    <row r="1026" spans="1:9" x14ac:dyDescent="0.35">
      <c r="A1026" s="71">
        <f t="shared" si="31"/>
        <v>127614.59999999998</v>
      </c>
      <c r="B1026" s="72">
        <f t="shared" si="30"/>
        <v>21460</v>
      </c>
      <c r="C1026" s="70">
        <v>1025</v>
      </c>
      <c r="D1026" s="65">
        <v>21760</v>
      </c>
      <c r="E1026" s="66">
        <v>300</v>
      </c>
      <c r="F1026" s="85">
        <v>45620</v>
      </c>
      <c r="G1026" s="64" t="s">
        <v>595</v>
      </c>
      <c r="H1026"/>
      <c r="I1026"/>
    </row>
    <row r="1027" spans="1:9" x14ac:dyDescent="0.35">
      <c r="A1027" s="71">
        <f t="shared" si="31"/>
        <v>102614.59999999998</v>
      </c>
      <c r="B1027" s="72">
        <f t="shared" ref="B1027:B1090" si="32">SUM(D1027-E1027)</f>
        <v>-25000</v>
      </c>
      <c r="C1027" s="70">
        <v>1026</v>
      </c>
      <c r="E1027" s="66">
        <v>25000</v>
      </c>
      <c r="F1027" s="85">
        <v>45620</v>
      </c>
      <c r="G1027" s="64" t="s">
        <v>591</v>
      </c>
      <c r="H1027"/>
      <c r="I1027"/>
    </row>
    <row r="1028" spans="1:9" x14ac:dyDescent="0.35">
      <c r="A1028" s="71">
        <f t="shared" ref="A1028:A1091" si="33">SUM(A1027+B1028)</f>
        <v>102614.59999999998</v>
      </c>
      <c r="B1028" s="72">
        <f t="shared" si="32"/>
        <v>0</v>
      </c>
      <c r="C1028" s="70">
        <v>1027</v>
      </c>
      <c r="D1028" s="65">
        <v>2000</v>
      </c>
      <c r="E1028" s="66">
        <v>2000</v>
      </c>
      <c r="F1028" s="85">
        <v>45621</v>
      </c>
      <c r="G1028" s="64" t="s">
        <v>605</v>
      </c>
      <c r="H1028"/>
      <c r="I1028"/>
    </row>
    <row r="1029" spans="1:9" x14ac:dyDescent="0.35">
      <c r="A1029" s="71">
        <f t="shared" si="33"/>
        <v>104309.59999999998</v>
      </c>
      <c r="B1029" s="72">
        <f t="shared" si="32"/>
        <v>1695</v>
      </c>
      <c r="C1029" s="70">
        <v>1028</v>
      </c>
      <c r="D1029" s="65">
        <v>2015</v>
      </c>
      <c r="E1029" s="66">
        <v>320</v>
      </c>
      <c r="F1029" s="85">
        <v>45621</v>
      </c>
      <c r="G1029" s="64" t="s">
        <v>75</v>
      </c>
      <c r="H1029"/>
      <c r="I1029"/>
    </row>
    <row r="1030" spans="1:9" x14ac:dyDescent="0.35">
      <c r="A1030" s="71">
        <f t="shared" si="33"/>
        <v>104219.59999999998</v>
      </c>
      <c r="B1030" s="72">
        <f t="shared" si="32"/>
        <v>-90</v>
      </c>
      <c r="C1030" s="70">
        <v>1029</v>
      </c>
      <c r="E1030" s="66">
        <v>90</v>
      </c>
      <c r="F1030" s="85">
        <v>45621</v>
      </c>
      <c r="G1030" s="64" t="s">
        <v>593</v>
      </c>
      <c r="H1030"/>
      <c r="I1030"/>
    </row>
    <row r="1031" spans="1:9" x14ac:dyDescent="0.35">
      <c r="A1031" s="71">
        <f t="shared" si="33"/>
        <v>104164.59999999998</v>
      </c>
      <c r="B1031" s="72">
        <f t="shared" si="32"/>
        <v>-55</v>
      </c>
      <c r="C1031" s="70">
        <v>1030</v>
      </c>
      <c r="E1031" s="66">
        <v>55</v>
      </c>
      <c r="F1031" s="85">
        <v>45621</v>
      </c>
      <c r="G1031" s="64" t="s">
        <v>594</v>
      </c>
      <c r="H1031"/>
      <c r="I1031"/>
    </row>
    <row r="1032" spans="1:9" x14ac:dyDescent="0.35">
      <c r="A1032" s="71">
        <f t="shared" si="33"/>
        <v>104064.59999999998</v>
      </c>
      <c r="B1032" s="72">
        <f t="shared" si="32"/>
        <v>-100</v>
      </c>
      <c r="C1032" s="70">
        <v>1031</v>
      </c>
      <c r="E1032" s="66">
        <v>100</v>
      </c>
      <c r="F1032" s="85">
        <v>45621</v>
      </c>
      <c r="G1032" s="64" t="s">
        <v>607</v>
      </c>
      <c r="H1032"/>
      <c r="I1032"/>
    </row>
    <row r="1033" spans="1:9" x14ac:dyDescent="0.35">
      <c r="A1033" s="71">
        <f t="shared" si="33"/>
        <v>104044.59999999998</v>
      </c>
      <c r="B1033" s="72">
        <f t="shared" si="32"/>
        <v>-20</v>
      </c>
      <c r="C1033" s="70">
        <v>1032</v>
      </c>
      <c r="E1033" s="66">
        <v>20</v>
      </c>
      <c r="F1033" s="85">
        <v>45621</v>
      </c>
      <c r="G1033" s="64" t="s">
        <v>243</v>
      </c>
      <c r="H1033"/>
      <c r="I1033"/>
    </row>
    <row r="1034" spans="1:9" x14ac:dyDescent="0.35">
      <c r="A1034" s="71">
        <f t="shared" si="33"/>
        <v>103969.59999999998</v>
      </c>
      <c r="B1034" s="72">
        <f t="shared" si="32"/>
        <v>-75</v>
      </c>
      <c r="C1034" s="70">
        <v>1033</v>
      </c>
      <c r="E1034" s="66">
        <v>75</v>
      </c>
      <c r="F1034" s="85">
        <v>45621</v>
      </c>
      <c r="G1034" s="64" t="s">
        <v>596</v>
      </c>
      <c r="H1034"/>
      <c r="I1034"/>
    </row>
    <row r="1035" spans="1:9" x14ac:dyDescent="0.35">
      <c r="A1035" s="71">
        <f t="shared" si="33"/>
        <v>132204.59999999998</v>
      </c>
      <c r="B1035" s="72">
        <f t="shared" si="32"/>
        <v>28235</v>
      </c>
      <c r="C1035" s="70">
        <v>1034</v>
      </c>
      <c r="D1035" s="65">
        <v>28235</v>
      </c>
      <c r="F1035" s="85">
        <v>45622</v>
      </c>
      <c r="G1035" s="64" t="s">
        <v>12</v>
      </c>
      <c r="H1035"/>
      <c r="I1035"/>
    </row>
    <row r="1036" spans="1:9" x14ac:dyDescent="0.35">
      <c r="A1036" s="71">
        <f t="shared" si="33"/>
        <v>131979.59999999998</v>
      </c>
      <c r="B1036" s="72">
        <f t="shared" si="32"/>
        <v>-225</v>
      </c>
      <c r="C1036" s="70">
        <v>1035</v>
      </c>
      <c r="E1036" s="66">
        <v>225</v>
      </c>
      <c r="F1036" s="85">
        <v>45622</v>
      </c>
      <c r="G1036" s="64" t="s">
        <v>597</v>
      </c>
      <c r="H1036"/>
      <c r="I1036"/>
    </row>
    <row r="1037" spans="1:9" x14ac:dyDescent="0.35">
      <c r="A1037" s="71">
        <f t="shared" si="33"/>
        <v>153329.59999999998</v>
      </c>
      <c r="B1037" s="72">
        <f t="shared" si="32"/>
        <v>21350</v>
      </c>
      <c r="C1037" s="70">
        <v>1036</v>
      </c>
      <c r="D1037" s="65">
        <v>21350</v>
      </c>
      <c r="F1037" s="85">
        <v>45623</v>
      </c>
      <c r="G1037" s="64" t="s">
        <v>12</v>
      </c>
      <c r="H1037"/>
      <c r="I1037"/>
    </row>
    <row r="1038" spans="1:9" x14ac:dyDescent="0.35">
      <c r="A1038" s="71">
        <f t="shared" si="33"/>
        <v>153237.59999999998</v>
      </c>
      <c r="B1038" s="72">
        <f t="shared" si="32"/>
        <v>-92</v>
      </c>
      <c r="C1038" s="70">
        <v>1037</v>
      </c>
      <c r="E1038" s="66">
        <v>92</v>
      </c>
      <c r="F1038" s="85">
        <v>45623</v>
      </c>
      <c r="G1038" s="64" t="s">
        <v>343</v>
      </c>
      <c r="H1038"/>
      <c r="I1038"/>
    </row>
    <row r="1039" spans="1:9" x14ac:dyDescent="0.35">
      <c r="A1039" s="71">
        <f t="shared" si="33"/>
        <v>153177.59999999998</v>
      </c>
      <c r="B1039" s="72">
        <f t="shared" si="32"/>
        <v>-60</v>
      </c>
      <c r="C1039" s="70">
        <v>1038</v>
      </c>
      <c r="E1039" s="66">
        <v>60</v>
      </c>
      <c r="F1039" s="85">
        <v>45623</v>
      </c>
      <c r="G1039" s="64" t="s">
        <v>137</v>
      </c>
      <c r="H1039"/>
      <c r="I1039"/>
    </row>
    <row r="1040" spans="1:9" x14ac:dyDescent="0.35">
      <c r="A1040" s="71">
        <f t="shared" si="33"/>
        <v>153177.59999999998</v>
      </c>
      <c r="B1040" s="72">
        <f t="shared" si="32"/>
        <v>0</v>
      </c>
      <c r="C1040" s="70">
        <v>1039</v>
      </c>
      <c r="D1040" s="65">
        <v>100</v>
      </c>
      <c r="E1040" s="66">
        <v>100</v>
      </c>
      <c r="F1040" s="85">
        <v>45623</v>
      </c>
      <c r="G1040" s="64" t="s">
        <v>628</v>
      </c>
      <c r="H1040"/>
      <c r="I1040"/>
    </row>
    <row r="1041" spans="1:9" x14ac:dyDescent="0.35">
      <c r="A1041" s="71">
        <f t="shared" si="33"/>
        <v>151987.59999999998</v>
      </c>
      <c r="B1041" s="72">
        <f t="shared" si="32"/>
        <v>-1190</v>
      </c>
      <c r="C1041" s="70">
        <v>1040</v>
      </c>
      <c r="E1041" s="66">
        <v>1190</v>
      </c>
      <c r="F1041" s="85">
        <v>45624</v>
      </c>
      <c r="G1041" s="64" t="s">
        <v>598</v>
      </c>
      <c r="H1041"/>
      <c r="I1041"/>
    </row>
    <row r="1042" spans="1:9" x14ac:dyDescent="0.35">
      <c r="A1042" s="71">
        <f t="shared" si="33"/>
        <v>154687.59999999998</v>
      </c>
      <c r="B1042" s="72">
        <f t="shared" si="32"/>
        <v>2700</v>
      </c>
      <c r="C1042" s="70">
        <v>1041</v>
      </c>
      <c r="D1042" s="65">
        <v>2775</v>
      </c>
      <c r="E1042" s="66">
        <v>75</v>
      </c>
      <c r="F1042" s="85">
        <v>45624</v>
      </c>
      <c r="G1042" s="64" t="s">
        <v>599</v>
      </c>
      <c r="H1042"/>
      <c r="I1042"/>
    </row>
    <row r="1043" spans="1:9" x14ac:dyDescent="0.35">
      <c r="A1043" s="71">
        <f t="shared" si="33"/>
        <v>154717.59999999998</v>
      </c>
      <c r="B1043" s="72">
        <f t="shared" si="32"/>
        <v>30</v>
      </c>
      <c r="C1043" s="70">
        <v>1042</v>
      </c>
      <c r="D1043" s="65">
        <v>30</v>
      </c>
      <c r="F1043" s="85">
        <v>45624</v>
      </c>
      <c r="G1043" s="64" t="s">
        <v>600</v>
      </c>
      <c r="H1043"/>
      <c r="I1043"/>
    </row>
    <row r="1044" spans="1:9" x14ac:dyDescent="0.35">
      <c r="A1044" s="71">
        <f t="shared" si="33"/>
        <v>152842.59999999998</v>
      </c>
      <c r="B1044" s="72">
        <f t="shared" si="32"/>
        <v>-1875</v>
      </c>
      <c r="C1044" s="70">
        <v>1043</v>
      </c>
      <c r="E1044" s="66">
        <v>1875</v>
      </c>
      <c r="F1044" s="85">
        <v>45626</v>
      </c>
      <c r="G1044" s="64" t="s">
        <v>625</v>
      </c>
      <c r="H1044"/>
      <c r="I1044"/>
    </row>
    <row r="1045" spans="1:9" x14ac:dyDescent="0.35">
      <c r="A1045" s="71">
        <f t="shared" si="33"/>
        <v>152592.59999999998</v>
      </c>
      <c r="B1045" s="72">
        <f t="shared" si="32"/>
        <v>-250</v>
      </c>
      <c r="C1045" s="70">
        <v>1044</v>
      </c>
      <c r="E1045" s="66">
        <v>250</v>
      </c>
      <c r="F1045" s="85">
        <v>45626</v>
      </c>
      <c r="G1045" s="64" t="s">
        <v>601</v>
      </c>
      <c r="H1045"/>
      <c r="I1045"/>
    </row>
    <row r="1046" spans="1:9" x14ac:dyDescent="0.35">
      <c r="A1046" s="71">
        <f t="shared" si="33"/>
        <v>151592.59999999998</v>
      </c>
      <c r="B1046" s="72">
        <f t="shared" si="32"/>
        <v>-1000</v>
      </c>
      <c r="C1046" s="70">
        <v>1045</v>
      </c>
      <c r="E1046" s="66">
        <v>1000</v>
      </c>
      <c r="F1046" s="85">
        <v>45626</v>
      </c>
      <c r="G1046" s="64" t="s">
        <v>602</v>
      </c>
      <c r="H1046"/>
      <c r="I1046"/>
    </row>
    <row r="1047" spans="1:9" x14ac:dyDescent="0.35">
      <c r="A1047" s="71">
        <f t="shared" si="33"/>
        <v>157747.59999999998</v>
      </c>
      <c r="B1047" s="72">
        <f t="shared" si="32"/>
        <v>6155</v>
      </c>
      <c r="C1047" s="70">
        <v>1046</v>
      </c>
      <c r="D1047" s="65">
        <v>6380</v>
      </c>
      <c r="E1047" s="66">
        <v>225</v>
      </c>
      <c r="F1047" s="85">
        <v>45626</v>
      </c>
      <c r="G1047" s="64" t="s">
        <v>603</v>
      </c>
      <c r="H1047"/>
      <c r="I1047"/>
    </row>
    <row r="1048" spans="1:9" x14ac:dyDescent="0.35">
      <c r="A1048" s="71">
        <f t="shared" si="33"/>
        <v>157662.59999999998</v>
      </c>
      <c r="B1048" s="72">
        <f t="shared" si="32"/>
        <v>-85</v>
      </c>
      <c r="C1048" s="70">
        <v>1047</v>
      </c>
      <c r="E1048" s="66">
        <v>85</v>
      </c>
      <c r="F1048" s="85">
        <v>45626</v>
      </c>
      <c r="G1048" s="64" t="s">
        <v>604</v>
      </c>
      <c r="H1048"/>
      <c r="I1048"/>
    </row>
    <row r="1049" spans="1:9" x14ac:dyDescent="0.35">
      <c r="A1049" s="71">
        <f t="shared" si="33"/>
        <v>157562.59999999998</v>
      </c>
      <c r="B1049" s="72">
        <f t="shared" si="32"/>
        <v>-100</v>
      </c>
      <c r="C1049" s="70">
        <v>1048</v>
      </c>
      <c r="E1049" s="66">
        <v>100</v>
      </c>
      <c r="F1049" s="85">
        <v>45626</v>
      </c>
      <c r="G1049" s="64" t="s">
        <v>608</v>
      </c>
      <c r="H1049"/>
      <c r="I1049"/>
    </row>
    <row r="1050" spans="1:9" x14ac:dyDescent="0.35">
      <c r="A1050" s="71">
        <f t="shared" si="33"/>
        <v>157482.59999999998</v>
      </c>
      <c r="B1050" s="72">
        <f t="shared" si="32"/>
        <v>-80</v>
      </c>
      <c r="C1050" s="70">
        <v>1049</v>
      </c>
      <c r="E1050" s="66">
        <v>80</v>
      </c>
      <c r="F1050" s="85">
        <v>45626</v>
      </c>
      <c r="G1050" s="64" t="s">
        <v>680</v>
      </c>
      <c r="H1050"/>
      <c r="I1050"/>
    </row>
    <row r="1051" spans="1:9" x14ac:dyDescent="0.35">
      <c r="A1051" s="71">
        <f t="shared" si="33"/>
        <v>155482.59999999998</v>
      </c>
      <c r="B1051" s="72">
        <f t="shared" si="32"/>
        <v>-2000</v>
      </c>
      <c r="C1051" s="70">
        <v>1050</v>
      </c>
      <c r="E1051" s="66">
        <v>2000</v>
      </c>
      <c r="F1051" s="85">
        <v>45627</v>
      </c>
      <c r="G1051" s="64" t="s">
        <v>606</v>
      </c>
      <c r="H1051"/>
      <c r="I1051"/>
    </row>
    <row r="1052" spans="1:9" x14ac:dyDescent="0.35">
      <c r="A1052" s="71">
        <f t="shared" si="33"/>
        <v>92770.599999999977</v>
      </c>
      <c r="B1052" s="72">
        <f t="shared" si="32"/>
        <v>-62712</v>
      </c>
      <c r="C1052" s="70">
        <v>1051</v>
      </c>
      <c r="E1052" s="66">
        <v>62712</v>
      </c>
      <c r="F1052" s="85">
        <v>45627</v>
      </c>
      <c r="G1052" s="64" t="s">
        <v>298</v>
      </c>
      <c r="H1052"/>
      <c r="I1052"/>
    </row>
    <row r="1053" spans="1:9" x14ac:dyDescent="0.35">
      <c r="A1053" s="71">
        <f t="shared" si="33"/>
        <v>96520.599999999977</v>
      </c>
      <c r="B1053" s="72">
        <f t="shared" si="32"/>
        <v>3750</v>
      </c>
      <c r="C1053" s="70">
        <v>1052</v>
      </c>
      <c r="D1053" s="65">
        <v>3750</v>
      </c>
      <c r="F1053" s="85">
        <v>45627</v>
      </c>
      <c r="G1053" s="64" t="s">
        <v>609</v>
      </c>
      <c r="H1053"/>
      <c r="I1053"/>
    </row>
    <row r="1054" spans="1:9" x14ac:dyDescent="0.35">
      <c r="A1054" s="71">
        <f t="shared" si="33"/>
        <v>81520.599999999977</v>
      </c>
      <c r="B1054" s="72">
        <f t="shared" si="32"/>
        <v>-15000</v>
      </c>
      <c r="C1054" s="70">
        <v>1053</v>
      </c>
      <c r="E1054" s="66">
        <v>15000</v>
      </c>
      <c r="F1054" s="85">
        <v>45627</v>
      </c>
      <c r="G1054" s="64" t="s">
        <v>146</v>
      </c>
      <c r="H1054"/>
      <c r="I1054"/>
    </row>
    <row r="1055" spans="1:9" x14ac:dyDescent="0.35">
      <c r="A1055" s="71">
        <f t="shared" si="33"/>
        <v>102320.59999999998</v>
      </c>
      <c r="B1055" s="72">
        <f t="shared" si="32"/>
        <v>20800</v>
      </c>
      <c r="C1055" s="70">
        <v>1054</v>
      </c>
      <c r="D1055" s="65">
        <v>20885</v>
      </c>
      <c r="E1055" s="66">
        <v>85</v>
      </c>
      <c r="F1055" s="85">
        <v>45627</v>
      </c>
      <c r="G1055" s="64" t="s">
        <v>611</v>
      </c>
      <c r="H1055"/>
      <c r="I1055"/>
    </row>
    <row r="1056" spans="1:9" x14ac:dyDescent="0.35">
      <c r="A1056" s="71">
        <f t="shared" si="33"/>
        <v>101320.59999999998</v>
      </c>
      <c r="B1056" s="72">
        <f t="shared" si="32"/>
        <v>-1000</v>
      </c>
      <c r="C1056" s="70">
        <v>1055</v>
      </c>
      <c r="E1056" s="66">
        <v>1000</v>
      </c>
      <c r="F1056" s="85">
        <v>45627</v>
      </c>
      <c r="G1056" s="64" t="s">
        <v>24</v>
      </c>
      <c r="H1056"/>
      <c r="I1056"/>
    </row>
    <row r="1057" spans="1:9" x14ac:dyDescent="0.35">
      <c r="A1057" s="71">
        <f t="shared" si="33"/>
        <v>101235.59999999998</v>
      </c>
      <c r="B1057" s="72">
        <f t="shared" si="32"/>
        <v>-85</v>
      </c>
      <c r="C1057" s="70">
        <v>1056</v>
      </c>
      <c r="E1057" s="66">
        <v>85</v>
      </c>
      <c r="F1057" s="85">
        <v>45627</v>
      </c>
      <c r="G1057" s="64" t="s">
        <v>616</v>
      </c>
      <c r="H1057"/>
      <c r="I1057"/>
    </row>
    <row r="1058" spans="1:9" x14ac:dyDescent="0.35">
      <c r="A1058" s="71">
        <f t="shared" si="33"/>
        <v>101185.59999999998</v>
      </c>
      <c r="B1058" s="72">
        <f t="shared" si="32"/>
        <v>-50</v>
      </c>
      <c r="C1058" s="70">
        <v>1057</v>
      </c>
      <c r="E1058" s="66">
        <v>50</v>
      </c>
      <c r="F1058" s="85">
        <v>45627</v>
      </c>
      <c r="G1058" s="64" t="s">
        <v>612</v>
      </c>
      <c r="H1058"/>
      <c r="I1058"/>
    </row>
    <row r="1059" spans="1:9" x14ac:dyDescent="0.35">
      <c r="A1059" s="71">
        <f t="shared" si="33"/>
        <v>101035.59999999998</v>
      </c>
      <c r="B1059" s="72">
        <f t="shared" si="32"/>
        <v>-150</v>
      </c>
      <c r="C1059" s="70">
        <v>1058</v>
      </c>
      <c r="E1059" s="66">
        <v>150</v>
      </c>
      <c r="F1059" s="85">
        <v>45627</v>
      </c>
      <c r="G1059" s="64" t="s">
        <v>120</v>
      </c>
      <c r="H1059"/>
      <c r="I1059"/>
    </row>
    <row r="1060" spans="1:9" x14ac:dyDescent="0.35">
      <c r="A1060" s="71">
        <f t="shared" si="33"/>
        <v>100715.59999999998</v>
      </c>
      <c r="B1060" s="72">
        <f t="shared" si="32"/>
        <v>-320</v>
      </c>
      <c r="C1060" s="70">
        <v>1059</v>
      </c>
      <c r="E1060" s="66">
        <v>320</v>
      </c>
      <c r="F1060" s="85">
        <v>45627</v>
      </c>
      <c r="G1060" s="64" t="s">
        <v>2</v>
      </c>
      <c r="H1060"/>
      <c r="I1060"/>
    </row>
    <row r="1061" spans="1:9" x14ac:dyDescent="0.35">
      <c r="A1061" s="71">
        <f t="shared" si="33"/>
        <v>100765.59999999998</v>
      </c>
      <c r="B1061" s="72">
        <f t="shared" si="32"/>
        <v>50</v>
      </c>
      <c r="C1061" s="70">
        <v>1060</v>
      </c>
      <c r="D1061" s="65">
        <v>50</v>
      </c>
      <c r="F1061" s="85">
        <v>45628</v>
      </c>
      <c r="G1061" s="64" t="s">
        <v>469</v>
      </c>
      <c r="H1061"/>
      <c r="I1061"/>
    </row>
    <row r="1062" spans="1:9" x14ac:dyDescent="0.35">
      <c r="A1062" s="71">
        <f t="shared" si="33"/>
        <v>74145.599999999977</v>
      </c>
      <c r="B1062" s="72">
        <f t="shared" si="32"/>
        <v>-26620</v>
      </c>
      <c r="C1062" s="70">
        <v>1061</v>
      </c>
      <c r="E1062" s="66">
        <v>26620</v>
      </c>
      <c r="F1062" s="85">
        <v>45628</v>
      </c>
      <c r="G1062" s="64" t="s">
        <v>15</v>
      </c>
      <c r="H1062"/>
      <c r="I1062"/>
    </row>
    <row r="1063" spans="1:9" x14ac:dyDescent="0.35">
      <c r="A1063" s="71">
        <f t="shared" si="33"/>
        <v>54145.599999999977</v>
      </c>
      <c r="B1063" s="72">
        <f t="shared" si="32"/>
        <v>-20000</v>
      </c>
      <c r="C1063" s="70">
        <v>1062</v>
      </c>
      <c r="E1063" s="66">
        <v>20000</v>
      </c>
      <c r="F1063" s="85">
        <v>45628</v>
      </c>
      <c r="G1063" s="64" t="s">
        <v>16</v>
      </c>
      <c r="H1063"/>
      <c r="I1063"/>
    </row>
    <row r="1064" spans="1:9" x14ac:dyDescent="0.35">
      <c r="A1064" s="71">
        <f t="shared" si="33"/>
        <v>63145.599999999977</v>
      </c>
      <c r="B1064" s="72">
        <f t="shared" si="32"/>
        <v>9000</v>
      </c>
      <c r="C1064" s="70">
        <v>1063</v>
      </c>
      <c r="D1064" s="65">
        <v>9225</v>
      </c>
      <c r="E1064" s="66">
        <v>225</v>
      </c>
      <c r="F1064" s="85">
        <v>45628</v>
      </c>
      <c r="G1064" s="64" t="s">
        <v>447</v>
      </c>
      <c r="H1064"/>
      <c r="I1064"/>
    </row>
    <row r="1065" spans="1:9" x14ac:dyDescent="0.35">
      <c r="A1065" s="71">
        <f t="shared" si="33"/>
        <v>63125.599999999977</v>
      </c>
      <c r="B1065" s="72">
        <f t="shared" si="32"/>
        <v>-20</v>
      </c>
      <c r="C1065" s="70">
        <v>1064</v>
      </c>
      <c r="E1065" s="66">
        <v>20</v>
      </c>
      <c r="F1065" s="85">
        <v>45628</v>
      </c>
      <c r="G1065" s="64" t="s">
        <v>243</v>
      </c>
      <c r="H1065"/>
      <c r="I1065"/>
    </row>
    <row r="1066" spans="1:9" x14ac:dyDescent="0.35">
      <c r="A1066" s="71">
        <f t="shared" si="33"/>
        <v>86809.599999999977</v>
      </c>
      <c r="B1066" s="72">
        <f t="shared" si="32"/>
        <v>23684</v>
      </c>
      <c r="C1066" s="70">
        <v>1065</v>
      </c>
      <c r="D1066" s="65">
        <v>23780</v>
      </c>
      <c r="E1066" s="66">
        <v>96</v>
      </c>
      <c r="F1066" s="85">
        <v>45629</v>
      </c>
      <c r="G1066" s="64" t="s">
        <v>613</v>
      </c>
      <c r="H1066"/>
      <c r="I1066"/>
    </row>
    <row r="1067" spans="1:9" x14ac:dyDescent="0.35">
      <c r="A1067" s="71">
        <f t="shared" si="33"/>
        <v>86659.599999999977</v>
      </c>
      <c r="B1067" s="72">
        <f t="shared" si="32"/>
        <v>-150</v>
      </c>
      <c r="C1067" s="70">
        <v>1066</v>
      </c>
      <c r="E1067" s="66">
        <v>150</v>
      </c>
      <c r="F1067" s="85">
        <v>45629</v>
      </c>
      <c r="G1067" s="64" t="s">
        <v>452</v>
      </c>
      <c r="H1067"/>
      <c r="I1067"/>
    </row>
    <row r="1068" spans="1:9" x14ac:dyDescent="0.35">
      <c r="A1068" s="71">
        <f t="shared" si="33"/>
        <v>86574.599999999977</v>
      </c>
      <c r="B1068" s="72">
        <f t="shared" si="32"/>
        <v>-85</v>
      </c>
      <c r="C1068" s="70">
        <v>1067</v>
      </c>
      <c r="E1068" s="66">
        <v>85</v>
      </c>
      <c r="F1068" s="85">
        <v>45629</v>
      </c>
      <c r="G1068" s="64" t="s">
        <v>624</v>
      </c>
      <c r="H1068"/>
      <c r="I1068"/>
    </row>
    <row r="1069" spans="1:9" x14ac:dyDescent="0.35">
      <c r="A1069" s="71">
        <f t="shared" si="33"/>
        <v>86574.599999999977</v>
      </c>
      <c r="B1069" s="72">
        <f t="shared" si="32"/>
        <v>0</v>
      </c>
      <c r="C1069" s="70">
        <v>1068</v>
      </c>
      <c r="D1069" s="65">
        <v>70000</v>
      </c>
      <c r="E1069" s="66">
        <v>70000</v>
      </c>
      <c r="F1069" s="85">
        <v>45630</v>
      </c>
      <c r="G1069" s="64" t="s">
        <v>623</v>
      </c>
      <c r="H1069"/>
      <c r="I1069"/>
    </row>
    <row r="1070" spans="1:9" x14ac:dyDescent="0.35">
      <c r="A1070" s="71">
        <f t="shared" si="33"/>
        <v>91074.599999999977</v>
      </c>
      <c r="B1070" s="72">
        <f t="shared" si="32"/>
        <v>4500</v>
      </c>
      <c r="C1070" s="70">
        <v>1069</v>
      </c>
      <c r="D1070" s="65">
        <v>4500</v>
      </c>
      <c r="F1070" s="85">
        <v>45630</v>
      </c>
      <c r="G1070" s="64" t="s">
        <v>12</v>
      </c>
      <c r="H1070"/>
      <c r="I1070"/>
    </row>
    <row r="1071" spans="1:9" x14ac:dyDescent="0.35">
      <c r="A1071" s="71">
        <f t="shared" si="33"/>
        <v>90924.599999999977</v>
      </c>
      <c r="B1071" s="72">
        <f t="shared" si="32"/>
        <v>-150</v>
      </c>
      <c r="C1071" s="70">
        <v>1070</v>
      </c>
      <c r="E1071" s="66">
        <v>150</v>
      </c>
      <c r="F1071" s="85">
        <v>45630</v>
      </c>
      <c r="G1071" s="64" t="s">
        <v>459</v>
      </c>
      <c r="H1071"/>
      <c r="I1071"/>
    </row>
    <row r="1072" spans="1:9" x14ac:dyDescent="0.35">
      <c r="A1072" s="71">
        <f t="shared" si="33"/>
        <v>90604.599999999977</v>
      </c>
      <c r="B1072" s="72">
        <f t="shared" si="32"/>
        <v>-320</v>
      </c>
      <c r="C1072" s="70">
        <v>1071</v>
      </c>
      <c r="E1072" s="66">
        <v>320</v>
      </c>
      <c r="F1072" s="85">
        <v>45630</v>
      </c>
      <c r="G1072" s="64" t="s">
        <v>75</v>
      </c>
      <c r="H1072"/>
      <c r="I1072"/>
    </row>
    <row r="1073" spans="1:9" x14ac:dyDescent="0.35">
      <c r="A1073" s="71">
        <f t="shared" si="33"/>
        <v>90244.599999999977</v>
      </c>
      <c r="B1073" s="72">
        <f t="shared" si="32"/>
        <v>-360</v>
      </c>
      <c r="C1073" s="70">
        <v>1072</v>
      </c>
      <c r="E1073" s="66">
        <v>360</v>
      </c>
      <c r="F1073" s="85">
        <v>45630</v>
      </c>
      <c r="G1073" s="64" t="s">
        <v>614</v>
      </c>
      <c r="H1073"/>
      <c r="I1073"/>
    </row>
    <row r="1074" spans="1:9" x14ac:dyDescent="0.35">
      <c r="A1074" s="71">
        <f t="shared" si="33"/>
        <v>88639.599999999977</v>
      </c>
      <c r="B1074" s="72">
        <f t="shared" si="32"/>
        <v>-1605</v>
      </c>
      <c r="C1074" s="70">
        <v>1073</v>
      </c>
      <c r="D1074" s="65">
        <v>635</v>
      </c>
      <c r="E1074" s="66">
        <v>2240</v>
      </c>
      <c r="F1074" s="85">
        <v>45631</v>
      </c>
      <c r="G1074" s="64" t="s">
        <v>653</v>
      </c>
      <c r="H1074"/>
      <c r="I1074"/>
    </row>
    <row r="1075" spans="1:9" x14ac:dyDescent="0.35">
      <c r="A1075" s="71">
        <f t="shared" si="33"/>
        <v>88564.599999999977</v>
      </c>
      <c r="B1075" s="72">
        <f t="shared" si="32"/>
        <v>-75</v>
      </c>
      <c r="C1075" s="70">
        <v>1074</v>
      </c>
      <c r="E1075" s="66">
        <v>75</v>
      </c>
      <c r="F1075" s="85">
        <v>45631</v>
      </c>
      <c r="G1075" s="64" t="s">
        <v>470</v>
      </c>
      <c r="H1075"/>
      <c r="I1075"/>
    </row>
    <row r="1076" spans="1:9" x14ac:dyDescent="0.35">
      <c r="A1076" s="71">
        <f t="shared" si="33"/>
        <v>87789.599999999977</v>
      </c>
      <c r="B1076" s="72">
        <f t="shared" si="32"/>
        <v>-775</v>
      </c>
      <c r="C1076" s="70">
        <v>1075</v>
      </c>
      <c r="E1076" s="66">
        <v>775</v>
      </c>
      <c r="F1076" s="85">
        <v>45633</v>
      </c>
      <c r="G1076" s="64" t="s">
        <v>615</v>
      </c>
      <c r="H1076"/>
      <c r="I1076"/>
    </row>
    <row r="1077" spans="1:9" x14ac:dyDescent="0.35">
      <c r="A1077" s="71">
        <f t="shared" si="33"/>
        <v>94114.599999999977</v>
      </c>
      <c r="B1077" s="72">
        <f t="shared" si="32"/>
        <v>6325</v>
      </c>
      <c r="C1077" s="70">
        <v>1076</v>
      </c>
      <c r="D1077" s="65">
        <v>6405</v>
      </c>
      <c r="E1077" s="66">
        <v>80</v>
      </c>
      <c r="F1077" s="85">
        <v>45633</v>
      </c>
      <c r="G1077" s="64" t="s">
        <v>617</v>
      </c>
      <c r="H1077"/>
      <c r="I1077"/>
    </row>
    <row r="1078" spans="1:9" x14ac:dyDescent="0.35">
      <c r="A1078" s="71">
        <f t="shared" si="33"/>
        <v>93894.599999999977</v>
      </c>
      <c r="B1078" s="72">
        <f t="shared" si="32"/>
        <v>-220</v>
      </c>
      <c r="C1078" s="70">
        <v>1077</v>
      </c>
      <c r="E1078" s="66">
        <v>220</v>
      </c>
      <c r="F1078" s="85">
        <v>45633</v>
      </c>
      <c r="G1078" s="64" t="s">
        <v>50</v>
      </c>
      <c r="H1078"/>
      <c r="I1078"/>
    </row>
    <row r="1079" spans="1:9" x14ac:dyDescent="0.35">
      <c r="A1079" s="71">
        <f t="shared" si="33"/>
        <v>93794.599999999977</v>
      </c>
      <c r="B1079" s="72">
        <f t="shared" si="32"/>
        <v>-100</v>
      </c>
      <c r="C1079" s="70">
        <v>1078</v>
      </c>
      <c r="E1079" s="66">
        <v>100</v>
      </c>
      <c r="F1079" s="85">
        <v>45633</v>
      </c>
      <c r="G1079" s="64" t="s">
        <v>618</v>
      </c>
      <c r="H1079"/>
      <c r="I1079"/>
    </row>
    <row r="1080" spans="1:9" x14ac:dyDescent="0.35">
      <c r="A1080" s="71">
        <f t="shared" si="33"/>
        <v>93734.599999999977</v>
      </c>
      <c r="B1080" s="72">
        <f t="shared" si="32"/>
        <v>-60</v>
      </c>
      <c r="C1080" s="70">
        <v>1079</v>
      </c>
      <c r="E1080" s="66">
        <v>60</v>
      </c>
      <c r="F1080" s="85">
        <v>45633</v>
      </c>
      <c r="G1080" s="64" t="s">
        <v>137</v>
      </c>
      <c r="H1080"/>
      <c r="I1080"/>
    </row>
    <row r="1081" spans="1:9" x14ac:dyDescent="0.35">
      <c r="A1081" s="71">
        <f t="shared" si="33"/>
        <v>93359.599999999977</v>
      </c>
      <c r="B1081" s="72">
        <f t="shared" si="32"/>
        <v>-375</v>
      </c>
      <c r="C1081" s="70">
        <v>1080</v>
      </c>
      <c r="E1081" s="66">
        <v>375</v>
      </c>
      <c r="F1081" s="85">
        <v>45633</v>
      </c>
      <c r="G1081" s="64" t="s">
        <v>484</v>
      </c>
      <c r="H1081"/>
      <c r="I1081"/>
    </row>
    <row r="1082" spans="1:9" x14ac:dyDescent="0.35">
      <c r="A1082" s="71">
        <f t="shared" si="33"/>
        <v>74109.599999999977</v>
      </c>
      <c r="B1082" s="72">
        <f t="shared" si="32"/>
        <v>-19250</v>
      </c>
      <c r="C1082" s="70">
        <v>1081</v>
      </c>
      <c r="E1082" s="66">
        <v>19250</v>
      </c>
      <c r="F1082" s="85">
        <v>45631</v>
      </c>
      <c r="G1082" s="64" t="s">
        <v>17</v>
      </c>
      <c r="H1082"/>
      <c r="I1082"/>
    </row>
    <row r="1083" spans="1:9" x14ac:dyDescent="0.35">
      <c r="A1083" s="71">
        <f t="shared" si="33"/>
        <v>98649.599999999977</v>
      </c>
      <c r="B1083" s="72">
        <f t="shared" si="32"/>
        <v>24540</v>
      </c>
      <c r="C1083" s="70">
        <v>1082</v>
      </c>
      <c r="D1083" s="65">
        <v>25190</v>
      </c>
      <c r="E1083" s="66">
        <v>650</v>
      </c>
      <c r="F1083" s="85">
        <v>45633</v>
      </c>
      <c r="G1083" s="64" t="s">
        <v>620</v>
      </c>
      <c r="H1083"/>
      <c r="I1083"/>
    </row>
    <row r="1084" spans="1:9" x14ac:dyDescent="0.35">
      <c r="A1084" s="71">
        <f t="shared" si="33"/>
        <v>98149.599999999977</v>
      </c>
      <c r="B1084" s="72">
        <f t="shared" si="32"/>
        <v>-500</v>
      </c>
      <c r="C1084" s="70">
        <v>1083</v>
      </c>
      <c r="E1084" s="66">
        <v>500</v>
      </c>
      <c r="F1084" s="85">
        <v>45633</v>
      </c>
      <c r="G1084" s="64" t="s">
        <v>619</v>
      </c>
      <c r="H1084"/>
      <c r="I1084"/>
    </row>
    <row r="1085" spans="1:9" x14ac:dyDescent="0.35">
      <c r="A1085" s="71">
        <f t="shared" si="33"/>
        <v>98099.599999999977</v>
      </c>
      <c r="B1085" s="72">
        <f t="shared" si="32"/>
        <v>-50</v>
      </c>
      <c r="C1085" s="70">
        <v>1084</v>
      </c>
      <c r="E1085" s="66">
        <v>50</v>
      </c>
      <c r="F1085" s="85">
        <v>45633</v>
      </c>
      <c r="G1085" s="64" t="s">
        <v>621</v>
      </c>
      <c r="H1085"/>
      <c r="I1085"/>
    </row>
    <row r="1086" spans="1:9" x14ac:dyDescent="0.35">
      <c r="A1086" s="71">
        <f t="shared" si="33"/>
        <v>98039.599999999977</v>
      </c>
      <c r="B1086" s="72">
        <f t="shared" si="32"/>
        <v>-60</v>
      </c>
      <c r="C1086" s="70">
        <v>1085</v>
      </c>
      <c r="E1086" s="66">
        <v>60</v>
      </c>
      <c r="F1086" s="85">
        <v>45633</v>
      </c>
      <c r="G1086" s="64" t="s">
        <v>622</v>
      </c>
      <c r="H1086"/>
      <c r="I1086"/>
    </row>
    <row r="1087" spans="1:9" x14ac:dyDescent="0.35">
      <c r="A1087" s="71">
        <f t="shared" si="33"/>
        <v>97964.599999999977</v>
      </c>
      <c r="B1087" s="72">
        <f t="shared" si="32"/>
        <v>-75</v>
      </c>
      <c r="C1087" s="70">
        <v>1086</v>
      </c>
      <c r="E1087" s="66">
        <v>75</v>
      </c>
      <c r="F1087" s="85">
        <v>45633</v>
      </c>
      <c r="G1087" s="64" t="s">
        <v>485</v>
      </c>
      <c r="H1087"/>
      <c r="I1087"/>
    </row>
    <row r="1088" spans="1:9" x14ac:dyDescent="0.35">
      <c r="A1088" s="71">
        <f t="shared" si="33"/>
        <v>95964.599999999977</v>
      </c>
      <c r="B1088" s="72">
        <f t="shared" si="32"/>
        <v>-2000</v>
      </c>
      <c r="C1088" s="70">
        <v>1087</v>
      </c>
      <c r="E1088" s="66">
        <v>2000</v>
      </c>
      <c r="F1088" s="85">
        <v>45633</v>
      </c>
      <c r="G1088" s="64" t="s">
        <v>177</v>
      </c>
      <c r="H1088"/>
      <c r="I1088"/>
    </row>
    <row r="1089" spans="1:9" x14ac:dyDescent="0.35">
      <c r="A1089" s="71">
        <f t="shared" si="33"/>
        <v>95879.599999999977</v>
      </c>
      <c r="B1089" s="72">
        <f t="shared" si="32"/>
        <v>-85</v>
      </c>
      <c r="C1089" s="70">
        <v>1088</v>
      </c>
      <c r="E1089" s="66">
        <v>85</v>
      </c>
      <c r="F1089" s="85">
        <v>45634</v>
      </c>
      <c r="G1089" s="64" t="s">
        <v>657</v>
      </c>
      <c r="H1089"/>
      <c r="I1089"/>
    </row>
    <row r="1090" spans="1:9" x14ac:dyDescent="0.35">
      <c r="A1090" s="71">
        <f t="shared" si="33"/>
        <v>99514.599999999977</v>
      </c>
      <c r="B1090" s="72">
        <f t="shared" si="32"/>
        <v>3635</v>
      </c>
      <c r="C1090" s="70">
        <v>1089</v>
      </c>
      <c r="D1090" s="65">
        <v>3785</v>
      </c>
      <c r="E1090" s="66">
        <v>150</v>
      </c>
      <c r="F1090" s="85">
        <v>45635</v>
      </c>
      <c r="G1090" s="64" t="s">
        <v>626</v>
      </c>
      <c r="H1090"/>
      <c r="I1090"/>
    </row>
    <row r="1091" spans="1:9" x14ac:dyDescent="0.35">
      <c r="A1091" s="71">
        <f t="shared" si="33"/>
        <v>99454.599999999977</v>
      </c>
      <c r="B1091" s="72">
        <f t="shared" ref="B1091:B1154" si="34">SUM(D1091-E1091)</f>
        <v>-60</v>
      </c>
      <c r="C1091" s="70">
        <v>1090</v>
      </c>
      <c r="E1091" s="66">
        <v>60</v>
      </c>
      <c r="F1091" s="85">
        <v>45635</v>
      </c>
      <c r="G1091" s="64" t="s">
        <v>250</v>
      </c>
      <c r="H1091"/>
      <c r="I1091"/>
    </row>
    <row r="1092" spans="1:9" x14ac:dyDescent="0.35">
      <c r="A1092" s="71">
        <f t="shared" ref="A1092:A1155" si="35">SUM(A1091+B1092)</f>
        <v>99379.599999999977</v>
      </c>
      <c r="B1092" s="72">
        <f t="shared" si="34"/>
        <v>-75</v>
      </c>
      <c r="C1092" s="70">
        <v>1091</v>
      </c>
      <c r="E1092" s="66">
        <v>75</v>
      </c>
      <c r="F1092" s="85">
        <v>45635</v>
      </c>
      <c r="G1092" s="64" t="s">
        <v>488</v>
      </c>
      <c r="H1092"/>
      <c r="I1092"/>
    </row>
    <row r="1093" spans="1:9" x14ac:dyDescent="0.35">
      <c r="A1093" s="71">
        <f t="shared" si="35"/>
        <v>99319.599999999977</v>
      </c>
      <c r="B1093" s="72">
        <f t="shared" si="34"/>
        <v>-60</v>
      </c>
      <c r="C1093" s="70">
        <v>1092</v>
      </c>
      <c r="E1093" s="66">
        <v>60</v>
      </c>
      <c r="F1093" s="85">
        <v>45635</v>
      </c>
      <c r="G1093" s="64" t="s">
        <v>39</v>
      </c>
      <c r="H1093"/>
      <c r="I1093"/>
    </row>
    <row r="1094" spans="1:9" x14ac:dyDescent="0.35">
      <c r="A1094" s="71">
        <f t="shared" si="35"/>
        <v>99149.599999999977</v>
      </c>
      <c r="B1094" s="72">
        <f t="shared" si="34"/>
        <v>-170</v>
      </c>
      <c r="C1094" s="70">
        <v>1093</v>
      </c>
      <c r="E1094" s="66">
        <v>170</v>
      </c>
      <c r="F1094" s="85">
        <v>45635</v>
      </c>
      <c r="G1094" s="64" t="s">
        <v>658</v>
      </c>
      <c r="H1094"/>
      <c r="I1094"/>
    </row>
    <row r="1095" spans="1:9" x14ac:dyDescent="0.35">
      <c r="A1095" s="71">
        <f t="shared" si="35"/>
        <v>49574.599999999977</v>
      </c>
      <c r="B1095" s="72">
        <f t="shared" si="34"/>
        <v>-49575</v>
      </c>
      <c r="C1095" s="70">
        <v>1094</v>
      </c>
      <c r="E1095" s="66">
        <v>49575</v>
      </c>
      <c r="F1095" s="85">
        <v>45636</v>
      </c>
      <c r="G1095" s="64" t="s">
        <v>627</v>
      </c>
      <c r="H1095"/>
      <c r="I1095"/>
    </row>
    <row r="1096" spans="1:9" x14ac:dyDescent="0.35">
      <c r="A1096" s="71">
        <f t="shared" si="35"/>
        <v>67615.599999999977</v>
      </c>
      <c r="B1096" s="72">
        <f t="shared" si="34"/>
        <v>18041</v>
      </c>
      <c r="C1096" s="70">
        <v>1095</v>
      </c>
      <c r="D1096" s="65">
        <v>18095</v>
      </c>
      <c r="E1096" s="66">
        <v>54</v>
      </c>
      <c r="F1096" s="85">
        <v>45636</v>
      </c>
      <c r="G1096" s="64" t="s">
        <v>534</v>
      </c>
      <c r="H1096"/>
      <c r="I1096"/>
    </row>
    <row r="1097" spans="1:9" x14ac:dyDescent="0.35">
      <c r="A1097" s="71">
        <f t="shared" si="35"/>
        <v>67555.599999999977</v>
      </c>
      <c r="B1097" s="72">
        <f t="shared" si="34"/>
        <v>-60</v>
      </c>
      <c r="C1097" s="70">
        <v>1096</v>
      </c>
      <c r="E1097" s="66">
        <v>60</v>
      </c>
      <c r="F1097" s="85">
        <v>45636</v>
      </c>
      <c r="G1097" s="64" t="s">
        <v>100</v>
      </c>
      <c r="H1097"/>
      <c r="I1097"/>
    </row>
    <row r="1098" spans="1:9" x14ac:dyDescent="0.35">
      <c r="A1098" s="71">
        <f t="shared" si="35"/>
        <v>67480.599999999977</v>
      </c>
      <c r="B1098" s="72">
        <f t="shared" si="34"/>
        <v>-75</v>
      </c>
      <c r="C1098" s="70">
        <v>1097</v>
      </c>
      <c r="E1098" s="66">
        <v>75</v>
      </c>
      <c r="F1098" s="85">
        <v>45636</v>
      </c>
      <c r="G1098" s="64" t="s">
        <v>491</v>
      </c>
      <c r="H1098"/>
      <c r="I1098"/>
    </row>
    <row r="1099" spans="1:9" x14ac:dyDescent="0.35">
      <c r="A1099" s="71">
        <f t="shared" si="35"/>
        <v>88575.599999999977</v>
      </c>
      <c r="B1099" s="72">
        <f t="shared" si="34"/>
        <v>21095</v>
      </c>
      <c r="C1099" s="70">
        <v>1098</v>
      </c>
      <c r="D1099" s="65">
        <v>21095</v>
      </c>
      <c r="F1099" s="85">
        <v>45637</v>
      </c>
      <c r="G1099" s="64" t="s">
        <v>12</v>
      </c>
      <c r="H1099"/>
      <c r="I1099"/>
    </row>
    <row r="1100" spans="1:9" x14ac:dyDescent="0.35">
      <c r="A1100" s="71">
        <f t="shared" si="35"/>
        <v>87975.599999999977</v>
      </c>
      <c r="B1100" s="72">
        <f t="shared" si="34"/>
        <v>-600</v>
      </c>
      <c r="C1100" s="70">
        <v>1099</v>
      </c>
      <c r="E1100" s="66">
        <v>600</v>
      </c>
      <c r="F1100" s="85">
        <v>45637</v>
      </c>
      <c r="G1100" s="64" t="s">
        <v>629</v>
      </c>
      <c r="H1100"/>
      <c r="I1100"/>
    </row>
    <row r="1101" spans="1:9" x14ac:dyDescent="0.35">
      <c r="A1101" s="71">
        <f t="shared" si="35"/>
        <v>67775.599999999977</v>
      </c>
      <c r="B1101" s="72">
        <f t="shared" si="34"/>
        <v>-20200</v>
      </c>
      <c r="C1101" s="70">
        <v>1100</v>
      </c>
      <c r="E1101" s="66">
        <v>20200</v>
      </c>
      <c r="F1101" s="85">
        <v>45637</v>
      </c>
      <c r="G1101" s="64" t="s">
        <v>630</v>
      </c>
      <c r="H1101"/>
      <c r="I1101"/>
    </row>
    <row r="1102" spans="1:9" x14ac:dyDescent="0.35">
      <c r="A1102" s="71">
        <f t="shared" si="35"/>
        <v>67550.599999999977</v>
      </c>
      <c r="B1102" s="72">
        <f t="shared" si="34"/>
        <v>-225</v>
      </c>
      <c r="C1102" s="70">
        <v>1101</v>
      </c>
      <c r="E1102" s="66">
        <v>225</v>
      </c>
      <c r="F1102" s="85">
        <v>45637</v>
      </c>
      <c r="G1102" s="64" t="s">
        <v>631</v>
      </c>
      <c r="H1102"/>
      <c r="I1102"/>
    </row>
    <row r="1103" spans="1:9" x14ac:dyDescent="0.35">
      <c r="A1103" s="71">
        <f t="shared" si="35"/>
        <v>67095.599999999977</v>
      </c>
      <c r="B1103" s="72">
        <f t="shared" si="34"/>
        <v>-455</v>
      </c>
      <c r="C1103" s="70">
        <v>1102</v>
      </c>
      <c r="E1103" s="66">
        <v>455</v>
      </c>
      <c r="F1103" s="85">
        <v>45637</v>
      </c>
      <c r="G1103" s="64" t="s">
        <v>48</v>
      </c>
      <c r="H1103"/>
      <c r="I1103"/>
    </row>
    <row r="1104" spans="1:9" x14ac:dyDescent="0.35">
      <c r="A1104" s="71">
        <f t="shared" si="35"/>
        <v>67140.599999999977</v>
      </c>
      <c r="B1104" s="72">
        <f t="shared" si="34"/>
        <v>45</v>
      </c>
      <c r="C1104" s="70">
        <v>1103</v>
      </c>
      <c r="D1104" s="65">
        <v>45</v>
      </c>
      <c r="F1104" s="85">
        <v>45638</v>
      </c>
      <c r="G1104" s="64" t="s">
        <v>632</v>
      </c>
      <c r="H1104"/>
      <c r="I1104"/>
    </row>
    <row r="1105" spans="1:9" x14ac:dyDescent="0.35">
      <c r="A1105" s="71">
        <f t="shared" si="35"/>
        <v>69710.599999999977</v>
      </c>
      <c r="B1105" s="72">
        <f t="shared" si="34"/>
        <v>2570</v>
      </c>
      <c r="C1105" s="70">
        <v>1104</v>
      </c>
      <c r="D1105" s="65">
        <v>2740</v>
      </c>
      <c r="E1105" s="66">
        <v>170</v>
      </c>
      <c r="F1105" s="85">
        <v>45638</v>
      </c>
      <c r="G1105" s="64" t="s">
        <v>659</v>
      </c>
      <c r="H1105"/>
      <c r="I1105"/>
    </row>
    <row r="1106" spans="1:9" x14ac:dyDescent="0.35">
      <c r="A1106" s="71">
        <f t="shared" si="35"/>
        <v>69710.599999999977</v>
      </c>
      <c r="B1106" s="72">
        <f t="shared" si="34"/>
        <v>0</v>
      </c>
      <c r="C1106" s="70">
        <v>1105</v>
      </c>
      <c r="D1106" s="65">
        <v>1000</v>
      </c>
      <c r="E1106" s="66">
        <v>1000</v>
      </c>
      <c r="F1106" s="85">
        <v>45638</v>
      </c>
      <c r="G1106" s="64" t="s">
        <v>695</v>
      </c>
      <c r="H1106"/>
      <c r="I1106"/>
    </row>
    <row r="1107" spans="1:9" x14ac:dyDescent="0.35">
      <c r="A1107" s="71">
        <f t="shared" si="35"/>
        <v>65710.599999999977</v>
      </c>
      <c r="B1107" s="72">
        <f t="shared" si="34"/>
        <v>-4000</v>
      </c>
      <c r="C1107" s="70">
        <v>1106</v>
      </c>
      <c r="E1107" s="66">
        <v>4000</v>
      </c>
      <c r="F1107" s="85">
        <v>45638</v>
      </c>
      <c r="G1107" s="64" t="s">
        <v>633</v>
      </c>
      <c r="H1107"/>
      <c r="I1107"/>
    </row>
    <row r="1108" spans="1:9" x14ac:dyDescent="0.35">
      <c r="A1108" s="71">
        <f t="shared" si="35"/>
        <v>72840.599999999977</v>
      </c>
      <c r="B1108" s="72">
        <f t="shared" si="34"/>
        <v>7130</v>
      </c>
      <c r="C1108" s="70">
        <v>1107</v>
      </c>
      <c r="D1108" s="65">
        <v>7355</v>
      </c>
      <c r="E1108" s="66">
        <v>225</v>
      </c>
      <c r="F1108" s="85">
        <v>45640</v>
      </c>
      <c r="G1108" s="64" t="s">
        <v>634</v>
      </c>
      <c r="H1108"/>
      <c r="I1108"/>
    </row>
    <row r="1109" spans="1:9" x14ac:dyDescent="0.35">
      <c r="A1109" s="71">
        <f t="shared" si="35"/>
        <v>72040.599999999977</v>
      </c>
      <c r="B1109" s="72">
        <f t="shared" si="34"/>
        <v>-800</v>
      </c>
      <c r="C1109" s="70">
        <v>1108</v>
      </c>
      <c r="E1109" s="66">
        <v>800</v>
      </c>
      <c r="F1109" s="85">
        <v>45640</v>
      </c>
      <c r="G1109" s="64" t="s">
        <v>555</v>
      </c>
      <c r="H1109"/>
      <c r="I1109"/>
    </row>
    <row r="1110" spans="1:9" x14ac:dyDescent="0.35">
      <c r="A1110" s="71">
        <f t="shared" si="35"/>
        <v>83427.599999999977</v>
      </c>
      <c r="B1110" s="72">
        <f t="shared" si="34"/>
        <v>11387</v>
      </c>
      <c r="C1110" s="70">
        <v>1109</v>
      </c>
      <c r="D1110" s="65">
        <v>11530</v>
      </c>
      <c r="E1110" s="66">
        <v>143</v>
      </c>
      <c r="F1110" s="85">
        <v>45641</v>
      </c>
      <c r="G1110" s="64" t="s">
        <v>635</v>
      </c>
      <c r="H1110"/>
      <c r="I1110"/>
    </row>
    <row r="1111" spans="1:9" x14ac:dyDescent="0.35">
      <c r="A1111" s="71">
        <f t="shared" si="35"/>
        <v>82427.599999999977</v>
      </c>
      <c r="B1111" s="72">
        <f t="shared" si="34"/>
        <v>-1000</v>
      </c>
      <c r="C1111" s="70">
        <v>1110</v>
      </c>
      <c r="E1111" s="66">
        <v>1000</v>
      </c>
      <c r="F1111" s="85">
        <v>45641</v>
      </c>
      <c r="G1111" s="64" t="s">
        <v>177</v>
      </c>
      <c r="H1111"/>
      <c r="I1111"/>
    </row>
    <row r="1112" spans="1:9" x14ac:dyDescent="0.35">
      <c r="A1112" s="71">
        <f t="shared" si="35"/>
        <v>82257.599999999977</v>
      </c>
      <c r="B1112" s="72">
        <f t="shared" si="34"/>
        <v>-170</v>
      </c>
      <c r="C1112" s="70">
        <v>1111</v>
      </c>
      <c r="E1112" s="66">
        <v>170</v>
      </c>
      <c r="F1112" s="85">
        <v>45641</v>
      </c>
      <c r="G1112" s="64" t="s">
        <v>611</v>
      </c>
      <c r="H1112"/>
      <c r="I1112"/>
    </row>
    <row r="1113" spans="1:9" x14ac:dyDescent="0.35">
      <c r="A1113" s="71">
        <f t="shared" si="35"/>
        <v>91482.599999999977</v>
      </c>
      <c r="B1113" s="72">
        <f t="shared" si="34"/>
        <v>9225</v>
      </c>
      <c r="C1113" s="70">
        <v>1112</v>
      </c>
      <c r="D1113" s="65">
        <v>9225</v>
      </c>
      <c r="F1113" s="85">
        <v>45642</v>
      </c>
      <c r="G1113" s="64" t="s">
        <v>12</v>
      </c>
      <c r="H1113"/>
      <c r="I1113"/>
    </row>
    <row r="1114" spans="1:9" x14ac:dyDescent="0.35">
      <c r="A1114" s="71">
        <f t="shared" si="35"/>
        <v>90182.599999999977</v>
      </c>
      <c r="B1114" s="72">
        <f t="shared" si="34"/>
        <v>-1300</v>
      </c>
      <c r="C1114" s="70">
        <v>1113</v>
      </c>
      <c r="E1114" s="66">
        <v>1300</v>
      </c>
      <c r="F1114" s="85">
        <v>45642</v>
      </c>
      <c r="G1114" s="64" t="s">
        <v>646</v>
      </c>
      <c r="H1114"/>
      <c r="I1114"/>
    </row>
    <row r="1115" spans="1:9" x14ac:dyDescent="0.35">
      <c r="A1115" s="71">
        <f t="shared" si="35"/>
        <v>90172.599999999977</v>
      </c>
      <c r="B1115" s="72">
        <f t="shared" si="34"/>
        <v>-10</v>
      </c>
      <c r="C1115" s="70">
        <v>1114</v>
      </c>
      <c r="E1115" s="66">
        <v>10</v>
      </c>
      <c r="F1115" s="85">
        <v>45642</v>
      </c>
      <c r="G1115" s="64" t="s">
        <v>637</v>
      </c>
      <c r="H1115"/>
      <c r="I1115"/>
    </row>
    <row r="1116" spans="1:9" x14ac:dyDescent="0.35">
      <c r="A1116" s="71">
        <f t="shared" si="35"/>
        <v>90097.599999999977</v>
      </c>
      <c r="B1116" s="72">
        <f t="shared" si="34"/>
        <v>-75</v>
      </c>
      <c r="C1116" s="70">
        <v>1115</v>
      </c>
      <c r="E1116" s="66">
        <v>75</v>
      </c>
      <c r="F1116" s="85">
        <v>45642</v>
      </c>
      <c r="G1116" s="64" t="s">
        <v>636</v>
      </c>
      <c r="H1116"/>
      <c r="I1116"/>
    </row>
    <row r="1117" spans="1:9" x14ac:dyDescent="0.35">
      <c r="A1117" s="71">
        <f t="shared" si="35"/>
        <v>97524.099999999977</v>
      </c>
      <c r="B1117" s="72">
        <f t="shared" si="34"/>
        <v>7426.5</v>
      </c>
      <c r="C1117" s="70">
        <v>1116</v>
      </c>
      <c r="D1117" s="65">
        <v>8066.5</v>
      </c>
      <c r="E1117" s="66">
        <v>640</v>
      </c>
      <c r="F1117" s="85">
        <v>45643</v>
      </c>
      <c r="G1117" s="64" t="s">
        <v>639</v>
      </c>
      <c r="H1117"/>
      <c r="I1117"/>
    </row>
    <row r="1118" spans="1:9" x14ac:dyDescent="0.35">
      <c r="A1118" s="71">
        <f t="shared" si="35"/>
        <v>96924.099999999977</v>
      </c>
      <c r="B1118" s="72">
        <f t="shared" si="34"/>
        <v>-600</v>
      </c>
      <c r="C1118" s="70">
        <v>1117</v>
      </c>
      <c r="E1118" s="66">
        <v>600</v>
      </c>
      <c r="F1118" s="85">
        <v>45643</v>
      </c>
      <c r="G1118" s="64" t="s">
        <v>638</v>
      </c>
      <c r="H1118"/>
      <c r="I1118"/>
    </row>
    <row r="1119" spans="1:9" x14ac:dyDescent="0.35">
      <c r="A1119" s="71">
        <f t="shared" si="35"/>
        <v>96924.099999999977</v>
      </c>
      <c r="B1119" s="72">
        <f t="shared" si="34"/>
        <v>0</v>
      </c>
      <c r="C1119" s="70">
        <v>1118</v>
      </c>
      <c r="D1119" s="65">
        <v>110</v>
      </c>
      <c r="E1119" s="66">
        <v>110</v>
      </c>
      <c r="F1119" s="85">
        <v>45643</v>
      </c>
      <c r="G1119" s="64" t="s">
        <v>676</v>
      </c>
      <c r="H1119"/>
      <c r="I1119"/>
    </row>
    <row r="1120" spans="1:9" x14ac:dyDescent="0.35">
      <c r="A1120" s="71">
        <f t="shared" si="35"/>
        <v>94524.099999999977</v>
      </c>
      <c r="B1120" s="72">
        <f t="shared" si="34"/>
        <v>-2400</v>
      </c>
      <c r="C1120" s="70">
        <v>1119</v>
      </c>
      <c r="E1120" s="66">
        <v>2400</v>
      </c>
      <c r="F1120" s="85">
        <v>45643</v>
      </c>
      <c r="G1120" s="64" t="s">
        <v>135</v>
      </c>
      <c r="H1120"/>
      <c r="I1120"/>
    </row>
    <row r="1121" spans="1:9" x14ac:dyDescent="0.35">
      <c r="A1121" s="71">
        <f t="shared" si="35"/>
        <v>94434.099999999977</v>
      </c>
      <c r="B1121" s="72">
        <f t="shared" si="34"/>
        <v>-90</v>
      </c>
      <c r="C1121" s="70">
        <v>1120</v>
      </c>
      <c r="E1121" s="66">
        <v>90</v>
      </c>
      <c r="F1121" s="85">
        <v>45643</v>
      </c>
      <c r="G1121" s="64" t="s">
        <v>482</v>
      </c>
      <c r="H1121"/>
      <c r="I1121"/>
    </row>
    <row r="1122" spans="1:9" x14ac:dyDescent="0.35">
      <c r="A1122" s="71">
        <f t="shared" si="35"/>
        <v>92554.099999999977</v>
      </c>
      <c r="B1122" s="72">
        <f t="shared" si="34"/>
        <v>-1880</v>
      </c>
      <c r="C1122" s="70">
        <v>1121</v>
      </c>
      <c r="E1122" s="66">
        <v>1880</v>
      </c>
      <c r="F1122" s="85">
        <v>45644</v>
      </c>
      <c r="G1122" s="64" t="s">
        <v>526</v>
      </c>
      <c r="H1122"/>
      <c r="I1122"/>
    </row>
    <row r="1123" spans="1:9" x14ac:dyDescent="0.35">
      <c r="A1123" s="71">
        <f t="shared" si="35"/>
        <v>105634.09999999998</v>
      </c>
      <c r="B1123" s="72">
        <f t="shared" si="34"/>
        <v>13080</v>
      </c>
      <c r="C1123" s="70">
        <v>1122</v>
      </c>
      <c r="D1123" s="65">
        <v>13100</v>
      </c>
      <c r="E1123" s="66">
        <v>20</v>
      </c>
      <c r="F1123" s="85">
        <v>45644</v>
      </c>
      <c r="G1123" s="64" t="s">
        <v>640</v>
      </c>
      <c r="H1123"/>
      <c r="I1123"/>
    </row>
    <row r="1124" spans="1:9" x14ac:dyDescent="0.35">
      <c r="A1124" s="71">
        <f t="shared" si="35"/>
        <v>105504.09999999998</v>
      </c>
      <c r="B1124" s="72">
        <f t="shared" si="34"/>
        <v>-130</v>
      </c>
      <c r="C1124" s="70">
        <v>1123</v>
      </c>
      <c r="E1124" s="66">
        <v>130</v>
      </c>
      <c r="F1124" s="85">
        <v>45644</v>
      </c>
      <c r="G1124" s="64" t="s">
        <v>641</v>
      </c>
      <c r="H1124"/>
      <c r="I1124"/>
    </row>
    <row r="1125" spans="1:9" x14ac:dyDescent="0.35">
      <c r="A1125" s="71">
        <f t="shared" si="35"/>
        <v>105604.09999999998</v>
      </c>
      <c r="B1125" s="72">
        <f t="shared" si="34"/>
        <v>100</v>
      </c>
      <c r="C1125" s="70">
        <v>1124</v>
      </c>
      <c r="D1125" s="65">
        <v>100</v>
      </c>
      <c r="F1125" s="85">
        <v>45645</v>
      </c>
      <c r="G1125" s="64" t="s">
        <v>642</v>
      </c>
      <c r="H1125"/>
      <c r="I1125"/>
    </row>
    <row r="1126" spans="1:9" x14ac:dyDescent="0.35">
      <c r="A1126" s="71">
        <f t="shared" si="35"/>
        <v>106914.09999999998</v>
      </c>
      <c r="B1126" s="72">
        <f t="shared" si="34"/>
        <v>1310</v>
      </c>
      <c r="C1126" s="70">
        <v>1125</v>
      </c>
      <c r="D1126" s="65">
        <v>1385</v>
      </c>
      <c r="E1126" s="66">
        <v>75</v>
      </c>
      <c r="F1126" s="85">
        <v>45645</v>
      </c>
      <c r="G1126" s="64" t="s">
        <v>643</v>
      </c>
      <c r="H1126"/>
      <c r="I1126"/>
    </row>
    <row r="1127" spans="1:9" x14ac:dyDescent="0.35">
      <c r="A1127" s="71">
        <f t="shared" si="35"/>
        <v>98414.099999999977</v>
      </c>
      <c r="B1127" s="72">
        <f t="shared" si="34"/>
        <v>-8500</v>
      </c>
      <c r="C1127" s="70">
        <v>1126</v>
      </c>
      <c r="E1127" s="66">
        <v>8500</v>
      </c>
      <c r="F1127" s="85">
        <v>45647</v>
      </c>
      <c r="G1127" s="64" t="s">
        <v>644</v>
      </c>
      <c r="H1127"/>
      <c r="I1127"/>
    </row>
    <row r="1128" spans="1:9" x14ac:dyDescent="0.35">
      <c r="A1128" s="71">
        <f t="shared" si="35"/>
        <v>78414.099999999977</v>
      </c>
      <c r="B1128" s="72">
        <f t="shared" si="34"/>
        <v>-20000</v>
      </c>
      <c r="C1128" s="70">
        <v>1127</v>
      </c>
      <c r="E1128" s="66">
        <v>20000</v>
      </c>
      <c r="F1128" s="85">
        <v>45647</v>
      </c>
      <c r="G1128" s="64" t="s">
        <v>591</v>
      </c>
      <c r="H1128"/>
      <c r="I1128"/>
    </row>
    <row r="1129" spans="1:9" x14ac:dyDescent="0.35">
      <c r="A1129" s="71">
        <f t="shared" si="35"/>
        <v>77044.099999999977</v>
      </c>
      <c r="B1129" s="72">
        <f t="shared" si="34"/>
        <v>-1370</v>
      </c>
      <c r="C1129" s="70">
        <v>1128</v>
      </c>
      <c r="E1129" s="66">
        <v>1370</v>
      </c>
      <c r="F1129" s="85">
        <v>45647</v>
      </c>
      <c r="G1129" s="64" t="s">
        <v>647</v>
      </c>
      <c r="H1129"/>
      <c r="I1129"/>
    </row>
    <row r="1130" spans="1:9" x14ac:dyDescent="0.35">
      <c r="A1130" s="71">
        <f t="shared" si="35"/>
        <v>76194.099999999977</v>
      </c>
      <c r="B1130" s="72">
        <f t="shared" si="34"/>
        <v>-850</v>
      </c>
      <c r="C1130" s="70">
        <v>1129</v>
      </c>
      <c r="E1130" s="66">
        <v>850</v>
      </c>
      <c r="F1130" s="85">
        <v>45647</v>
      </c>
      <c r="G1130" s="64" t="s">
        <v>645</v>
      </c>
      <c r="H1130"/>
      <c r="I1130"/>
    </row>
    <row r="1131" spans="1:9" x14ac:dyDescent="0.35">
      <c r="A1131" s="71">
        <f t="shared" si="35"/>
        <v>79124.099999999977</v>
      </c>
      <c r="B1131" s="72">
        <f t="shared" si="34"/>
        <v>2930</v>
      </c>
      <c r="C1131" s="70">
        <v>1130</v>
      </c>
      <c r="D1131" s="65">
        <v>3005</v>
      </c>
      <c r="E1131" s="66">
        <v>75</v>
      </c>
      <c r="F1131" s="85">
        <v>45647</v>
      </c>
      <c r="G1131" s="64" t="s">
        <v>506</v>
      </c>
      <c r="H1131"/>
      <c r="I1131"/>
    </row>
    <row r="1132" spans="1:9" x14ac:dyDescent="0.35">
      <c r="A1132" s="71">
        <f t="shared" si="35"/>
        <v>79004.099999999977</v>
      </c>
      <c r="B1132" s="72">
        <f t="shared" si="34"/>
        <v>-120</v>
      </c>
      <c r="C1132" s="70">
        <v>1131</v>
      </c>
      <c r="E1132" s="66">
        <v>120</v>
      </c>
      <c r="F1132" s="85">
        <v>45647</v>
      </c>
      <c r="G1132" s="64" t="s">
        <v>650</v>
      </c>
      <c r="H1132"/>
      <c r="I1132"/>
    </row>
    <row r="1133" spans="1:9" x14ac:dyDescent="0.35">
      <c r="A1133" s="71">
        <f t="shared" si="35"/>
        <v>78784.099999999977</v>
      </c>
      <c r="B1133" s="72">
        <f t="shared" si="34"/>
        <v>-220</v>
      </c>
      <c r="C1133" s="70">
        <v>1132</v>
      </c>
      <c r="E1133" s="66">
        <v>220</v>
      </c>
      <c r="F1133" s="85">
        <v>45648</v>
      </c>
      <c r="G1133" s="64" t="s">
        <v>50</v>
      </c>
      <c r="H1133"/>
      <c r="I1133"/>
    </row>
    <row r="1134" spans="1:9" x14ac:dyDescent="0.35">
      <c r="A1134" s="71">
        <f t="shared" si="35"/>
        <v>93229.099999999977</v>
      </c>
      <c r="B1134" s="72">
        <f t="shared" si="34"/>
        <v>14445</v>
      </c>
      <c r="C1134" s="70">
        <v>1133</v>
      </c>
      <c r="D1134" s="65">
        <v>14445</v>
      </c>
      <c r="F1134" s="85">
        <v>45648</v>
      </c>
      <c r="G1134" s="64" t="s">
        <v>12</v>
      </c>
      <c r="H1134"/>
      <c r="I1134"/>
    </row>
    <row r="1135" spans="1:9" x14ac:dyDescent="0.35">
      <c r="A1135" s="71">
        <f t="shared" si="35"/>
        <v>93004.099999999977</v>
      </c>
      <c r="B1135" s="72">
        <f t="shared" si="34"/>
        <v>-225</v>
      </c>
      <c r="C1135" s="70">
        <v>1134</v>
      </c>
      <c r="E1135" s="66">
        <v>225</v>
      </c>
      <c r="F1135" s="85">
        <v>45648</v>
      </c>
      <c r="G1135" s="64" t="s">
        <v>584</v>
      </c>
      <c r="H1135"/>
      <c r="I1135"/>
    </row>
    <row r="1136" spans="1:9" x14ac:dyDescent="0.35">
      <c r="A1136" s="71">
        <f t="shared" si="35"/>
        <v>92967.099999999977</v>
      </c>
      <c r="B1136" s="72">
        <f t="shared" si="34"/>
        <v>-37</v>
      </c>
      <c r="C1136" s="70">
        <v>1135</v>
      </c>
      <c r="E1136" s="66">
        <v>37</v>
      </c>
      <c r="F1136" s="85">
        <v>45648</v>
      </c>
      <c r="G1136" s="64" t="s">
        <v>651</v>
      </c>
      <c r="H1136"/>
      <c r="I1136"/>
    </row>
    <row r="1137" spans="1:9" x14ac:dyDescent="0.35">
      <c r="A1137" s="71">
        <f t="shared" si="35"/>
        <v>93967.099999999977</v>
      </c>
      <c r="B1137" s="72">
        <f t="shared" si="34"/>
        <v>1000</v>
      </c>
      <c r="C1137" s="70">
        <v>1136</v>
      </c>
      <c r="D1137" s="65">
        <v>1000</v>
      </c>
      <c r="F1137" s="85">
        <v>45648</v>
      </c>
      <c r="G1137" s="64" t="s">
        <v>400</v>
      </c>
      <c r="H1137"/>
      <c r="I1137"/>
    </row>
    <row r="1138" spans="1:9" x14ac:dyDescent="0.35">
      <c r="A1138" s="71">
        <f t="shared" si="35"/>
        <v>93977.099999999977</v>
      </c>
      <c r="B1138" s="72">
        <f t="shared" si="34"/>
        <v>10</v>
      </c>
      <c r="C1138" s="70">
        <v>1137</v>
      </c>
      <c r="D1138" s="65">
        <v>10</v>
      </c>
      <c r="F1138" s="85">
        <v>45648</v>
      </c>
      <c r="G1138" s="64" t="s">
        <v>652</v>
      </c>
      <c r="H1138"/>
      <c r="I1138"/>
    </row>
    <row r="1139" spans="1:9" x14ac:dyDescent="0.35">
      <c r="A1139" s="71">
        <f t="shared" si="35"/>
        <v>93617.099999999977</v>
      </c>
      <c r="B1139" s="72">
        <f t="shared" si="34"/>
        <v>-360</v>
      </c>
      <c r="C1139" s="70">
        <v>1138</v>
      </c>
      <c r="E1139" s="66">
        <v>360</v>
      </c>
      <c r="F1139" s="85">
        <v>45648</v>
      </c>
      <c r="G1139" s="64" t="s">
        <v>614</v>
      </c>
      <c r="H1139"/>
      <c r="I1139"/>
    </row>
    <row r="1140" spans="1:9" x14ac:dyDescent="0.35">
      <c r="A1140" s="71">
        <f t="shared" si="35"/>
        <v>98862.099999999977</v>
      </c>
      <c r="B1140" s="72">
        <f t="shared" si="34"/>
        <v>5245</v>
      </c>
      <c r="C1140" s="70">
        <v>1139</v>
      </c>
      <c r="D1140" s="65">
        <v>5320</v>
      </c>
      <c r="E1140" s="66">
        <v>75</v>
      </c>
      <c r="F1140" s="85">
        <v>45649</v>
      </c>
      <c r="G1140" s="64" t="s">
        <v>533</v>
      </c>
      <c r="H1140"/>
      <c r="I1140"/>
    </row>
    <row r="1141" spans="1:9" x14ac:dyDescent="0.35">
      <c r="A1141" s="71">
        <f t="shared" si="35"/>
        <v>95862.099999999977</v>
      </c>
      <c r="B1141" s="72">
        <f t="shared" si="34"/>
        <v>-3000</v>
      </c>
      <c r="C1141" s="70">
        <v>1140</v>
      </c>
      <c r="E1141" s="66">
        <v>3000</v>
      </c>
      <c r="F1141" s="85">
        <v>45649</v>
      </c>
      <c r="G1141" s="64" t="s">
        <v>654</v>
      </c>
      <c r="H1141"/>
      <c r="I1141"/>
    </row>
    <row r="1142" spans="1:9" x14ac:dyDescent="0.35">
      <c r="A1142" s="71">
        <f t="shared" si="35"/>
        <v>42862.099999999977</v>
      </c>
      <c r="B1142" s="72">
        <f t="shared" si="34"/>
        <v>-53000</v>
      </c>
      <c r="C1142" s="70">
        <v>1141</v>
      </c>
      <c r="E1142" s="66">
        <v>53000</v>
      </c>
      <c r="F1142" s="85">
        <v>45649</v>
      </c>
      <c r="G1142" s="64" t="s">
        <v>655</v>
      </c>
      <c r="H1142"/>
      <c r="I1142"/>
    </row>
    <row r="1143" spans="1:9" x14ac:dyDescent="0.35">
      <c r="A1143" s="71">
        <f t="shared" si="35"/>
        <v>42692.099999999977</v>
      </c>
      <c r="B1143" s="72">
        <f t="shared" si="34"/>
        <v>-170</v>
      </c>
      <c r="C1143" s="70">
        <v>1142</v>
      </c>
      <c r="E1143" s="66">
        <v>170</v>
      </c>
      <c r="F1143" s="85">
        <v>45649</v>
      </c>
      <c r="G1143" s="64" t="s">
        <v>400</v>
      </c>
      <c r="H1143"/>
      <c r="I1143"/>
    </row>
    <row r="1144" spans="1:9" x14ac:dyDescent="0.35">
      <c r="A1144" s="71">
        <f t="shared" si="35"/>
        <v>42607.099999999977</v>
      </c>
      <c r="B1144" s="72">
        <f t="shared" si="34"/>
        <v>-85</v>
      </c>
      <c r="C1144" s="70">
        <v>1143</v>
      </c>
      <c r="E1144" s="66">
        <v>85</v>
      </c>
      <c r="F1144" s="85">
        <v>45649</v>
      </c>
      <c r="G1144" s="64" t="s">
        <v>656</v>
      </c>
      <c r="H1144"/>
      <c r="I1144"/>
    </row>
    <row r="1145" spans="1:9" x14ac:dyDescent="0.35">
      <c r="A1145" s="71">
        <f t="shared" si="35"/>
        <v>42597.099999999977</v>
      </c>
      <c r="B1145" s="72">
        <f t="shared" si="34"/>
        <v>-10</v>
      </c>
      <c r="C1145" s="70">
        <v>1144</v>
      </c>
      <c r="E1145" s="66">
        <v>10</v>
      </c>
      <c r="F1145" s="85">
        <v>45649</v>
      </c>
      <c r="G1145" s="64" t="s">
        <v>660</v>
      </c>
      <c r="H1145"/>
      <c r="I1145"/>
    </row>
    <row r="1146" spans="1:9" x14ac:dyDescent="0.35">
      <c r="A1146" s="71">
        <f t="shared" si="35"/>
        <v>73992.099999999977</v>
      </c>
      <c r="B1146" s="72">
        <f t="shared" si="34"/>
        <v>31395</v>
      </c>
      <c r="C1146" s="70">
        <v>1145</v>
      </c>
      <c r="D1146" s="65">
        <v>31545</v>
      </c>
      <c r="E1146" s="66">
        <v>150</v>
      </c>
      <c r="F1146" s="85">
        <v>45651</v>
      </c>
      <c r="G1146" s="64" t="s">
        <v>586</v>
      </c>
      <c r="H1146"/>
      <c r="I1146"/>
    </row>
    <row r="1147" spans="1:9" x14ac:dyDescent="0.35">
      <c r="A1147" s="71">
        <f t="shared" si="35"/>
        <v>73907.099999999977</v>
      </c>
      <c r="B1147" s="72">
        <f t="shared" si="34"/>
        <v>-85</v>
      </c>
      <c r="C1147" s="70">
        <v>1146</v>
      </c>
      <c r="E1147" s="66">
        <v>85</v>
      </c>
      <c r="F1147" s="85">
        <v>45651</v>
      </c>
      <c r="G1147" s="64" t="s">
        <v>661</v>
      </c>
      <c r="H1147"/>
      <c r="I1147"/>
    </row>
    <row r="1148" spans="1:9" x14ac:dyDescent="0.35">
      <c r="A1148" s="71">
        <f t="shared" si="35"/>
        <v>73822.099999999977</v>
      </c>
      <c r="B1148" s="72">
        <f t="shared" si="34"/>
        <v>-85</v>
      </c>
      <c r="C1148" s="70">
        <v>1147</v>
      </c>
      <c r="E1148" s="66">
        <v>85</v>
      </c>
      <c r="F1148" s="85">
        <v>45651</v>
      </c>
      <c r="G1148" s="64" t="s">
        <v>400</v>
      </c>
      <c r="H1148"/>
      <c r="I1148"/>
    </row>
    <row r="1149" spans="1:9" x14ac:dyDescent="0.35">
      <c r="A1149" s="71">
        <f t="shared" si="35"/>
        <v>73762.099999999977</v>
      </c>
      <c r="B1149" s="72">
        <f t="shared" si="34"/>
        <v>-60</v>
      </c>
      <c r="C1149" s="70">
        <v>1148</v>
      </c>
      <c r="E1149" s="66">
        <v>60</v>
      </c>
      <c r="F1149" s="85">
        <v>45651</v>
      </c>
      <c r="G1149" s="64" t="s">
        <v>662</v>
      </c>
      <c r="H1149"/>
      <c r="I1149"/>
    </row>
    <row r="1150" spans="1:9" x14ac:dyDescent="0.35">
      <c r="A1150" s="71">
        <f t="shared" si="35"/>
        <v>73062.099999999977</v>
      </c>
      <c r="B1150" s="72">
        <f t="shared" si="34"/>
        <v>-700</v>
      </c>
      <c r="C1150" s="70">
        <v>1149</v>
      </c>
      <c r="E1150" s="66">
        <v>700</v>
      </c>
      <c r="F1150" s="85">
        <v>45651</v>
      </c>
      <c r="G1150" s="64" t="s">
        <v>663</v>
      </c>
      <c r="H1150"/>
      <c r="I1150"/>
    </row>
    <row r="1151" spans="1:9" x14ac:dyDescent="0.35">
      <c r="A1151" s="71">
        <f t="shared" si="35"/>
        <v>72962.099999999977</v>
      </c>
      <c r="B1151" s="72">
        <f t="shared" si="34"/>
        <v>-100</v>
      </c>
      <c r="C1151" s="70">
        <v>1150</v>
      </c>
      <c r="E1151" s="66">
        <v>100</v>
      </c>
      <c r="F1151" s="85">
        <v>45651</v>
      </c>
      <c r="G1151" s="64" t="s">
        <v>493</v>
      </c>
      <c r="H1151"/>
      <c r="I1151"/>
    </row>
    <row r="1152" spans="1:9" x14ac:dyDescent="0.35">
      <c r="A1152" s="71">
        <f t="shared" si="35"/>
        <v>80637.099999999977</v>
      </c>
      <c r="B1152" s="72">
        <f t="shared" si="34"/>
        <v>7675</v>
      </c>
      <c r="C1152" s="70">
        <v>1151</v>
      </c>
      <c r="D1152" s="65">
        <v>7675</v>
      </c>
      <c r="F1152" s="85">
        <v>45651</v>
      </c>
      <c r="G1152" s="64" t="s">
        <v>664</v>
      </c>
      <c r="H1152"/>
      <c r="I1152"/>
    </row>
    <row r="1153" spans="1:9" x14ac:dyDescent="0.35">
      <c r="A1153" s="71">
        <f t="shared" si="35"/>
        <v>77037.099999999977</v>
      </c>
      <c r="B1153" s="72">
        <f t="shared" si="34"/>
        <v>-3600</v>
      </c>
      <c r="C1153" s="70">
        <v>1152</v>
      </c>
      <c r="E1153" s="66">
        <v>3600</v>
      </c>
      <c r="F1153" s="85">
        <v>45651</v>
      </c>
      <c r="G1153" s="64" t="s">
        <v>174</v>
      </c>
      <c r="H1153"/>
      <c r="I1153"/>
    </row>
    <row r="1154" spans="1:9" x14ac:dyDescent="0.35">
      <c r="A1154" s="71">
        <f t="shared" si="35"/>
        <v>76887.099999999977</v>
      </c>
      <c r="B1154" s="72">
        <f t="shared" si="34"/>
        <v>-150</v>
      </c>
      <c r="C1154" s="70">
        <v>1153</v>
      </c>
      <c r="E1154" s="66">
        <v>150</v>
      </c>
      <c r="F1154" s="85">
        <v>45651</v>
      </c>
      <c r="G1154" s="64" t="s">
        <v>537</v>
      </c>
      <c r="H1154"/>
      <c r="I1154"/>
    </row>
    <row r="1155" spans="1:9" x14ac:dyDescent="0.35">
      <c r="A1155" s="71">
        <f t="shared" si="35"/>
        <v>76547.099999999977</v>
      </c>
      <c r="B1155" s="72">
        <f t="shared" ref="B1155:B1218" si="36">SUM(D1155-E1155)</f>
        <v>-340</v>
      </c>
      <c r="C1155" s="70">
        <v>1154</v>
      </c>
      <c r="E1155" s="66">
        <v>340</v>
      </c>
      <c r="F1155" s="85">
        <v>45651</v>
      </c>
      <c r="G1155" s="64" t="s">
        <v>400</v>
      </c>
      <c r="H1155"/>
      <c r="I1155"/>
    </row>
    <row r="1156" spans="1:9" x14ac:dyDescent="0.35">
      <c r="A1156" s="71">
        <f t="shared" ref="A1156:A1219" si="37">SUM(A1155+B1156)</f>
        <v>76462.099999999977</v>
      </c>
      <c r="B1156" s="72">
        <f t="shared" si="36"/>
        <v>-85</v>
      </c>
      <c r="C1156" s="70">
        <v>1155</v>
      </c>
      <c r="E1156" s="66">
        <v>85</v>
      </c>
      <c r="F1156" s="85">
        <v>45651</v>
      </c>
      <c r="G1156" s="64" t="s">
        <v>667</v>
      </c>
      <c r="H1156"/>
      <c r="I1156"/>
    </row>
    <row r="1157" spans="1:9" x14ac:dyDescent="0.35">
      <c r="A1157" s="71">
        <f t="shared" si="37"/>
        <v>76012.099999999977</v>
      </c>
      <c r="B1157" s="72">
        <f t="shared" si="36"/>
        <v>-450</v>
      </c>
      <c r="C1157" s="70">
        <v>1156</v>
      </c>
      <c r="E1157" s="66">
        <v>450</v>
      </c>
      <c r="F1157" s="85">
        <v>45652</v>
      </c>
      <c r="G1157" s="64" t="s">
        <v>668</v>
      </c>
      <c r="H1157"/>
      <c r="I1157"/>
    </row>
    <row r="1158" spans="1:9" x14ac:dyDescent="0.35">
      <c r="A1158" s="71">
        <f t="shared" si="37"/>
        <v>75012.099999999977</v>
      </c>
      <c r="B1158" s="72">
        <f t="shared" si="36"/>
        <v>-1000</v>
      </c>
      <c r="C1158" s="70">
        <v>1157</v>
      </c>
      <c r="E1158" s="66">
        <v>1000</v>
      </c>
      <c r="F1158" s="85">
        <v>45652</v>
      </c>
      <c r="G1158" s="64" t="s">
        <v>669</v>
      </c>
      <c r="H1158"/>
      <c r="I1158"/>
    </row>
    <row r="1159" spans="1:9" x14ac:dyDescent="0.35">
      <c r="A1159" s="71">
        <f t="shared" si="37"/>
        <v>75012.099999999977</v>
      </c>
      <c r="B1159" s="72">
        <f t="shared" si="36"/>
        <v>0</v>
      </c>
      <c r="C1159" s="70">
        <v>1158</v>
      </c>
      <c r="D1159" s="65">
        <v>100</v>
      </c>
      <c r="E1159" s="66">
        <v>100</v>
      </c>
      <c r="F1159" s="85">
        <v>45652</v>
      </c>
      <c r="G1159" s="64" t="s">
        <v>676</v>
      </c>
      <c r="H1159"/>
      <c r="I1159"/>
    </row>
    <row r="1160" spans="1:9" x14ac:dyDescent="0.35">
      <c r="A1160" s="71">
        <f t="shared" si="37"/>
        <v>77007.099999999977</v>
      </c>
      <c r="B1160" s="72">
        <f t="shared" si="36"/>
        <v>1995</v>
      </c>
      <c r="C1160" s="70">
        <v>1159</v>
      </c>
      <c r="D1160" s="65">
        <v>1995</v>
      </c>
      <c r="F1160" s="85">
        <v>45652</v>
      </c>
      <c r="G1160" s="64" t="s">
        <v>12</v>
      </c>
      <c r="H1160"/>
      <c r="I1160"/>
    </row>
    <row r="1161" spans="1:9" x14ac:dyDescent="0.35">
      <c r="A1161" s="71">
        <f t="shared" si="37"/>
        <v>76857.099999999977</v>
      </c>
      <c r="B1161" s="72">
        <f t="shared" si="36"/>
        <v>-150</v>
      </c>
      <c r="C1161" s="70">
        <v>1160</v>
      </c>
      <c r="E1161" s="66">
        <v>150</v>
      </c>
      <c r="F1161" s="85">
        <v>45652</v>
      </c>
      <c r="G1161" s="64" t="s">
        <v>542</v>
      </c>
      <c r="H1161"/>
      <c r="I1161"/>
    </row>
    <row r="1162" spans="1:9" x14ac:dyDescent="0.35">
      <c r="A1162" s="71">
        <f t="shared" si="37"/>
        <v>76772.099999999977</v>
      </c>
      <c r="B1162" s="72">
        <f t="shared" si="36"/>
        <v>-85</v>
      </c>
      <c r="C1162" s="70">
        <v>1161</v>
      </c>
      <c r="E1162" s="66">
        <v>85</v>
      </c>
      <c r="F1162" s="85">
        <v>45652</v>
      </c>
      <c r="G1162" s="64" t="s">
        <v>400</v>
      </c>
      <c r="H1162"/>
      <c r="I1162"/>
    </row>
    <row r="1163" spans="1:9" x14ac:dyDescent="0.35">
      <c r="A1163" s="71">
        <f t="shared" si="37"/>
        <v>76772.099999999977</v>
      </c>
      <c r="B1163" s="72">
        <f t="shared" si="36"/>
        <v>0</v>
      </c>
      <c r="C1163" s="70">
        <v>1162</v>
      </c>
      <c r="D1163" s="65">
        <v>100</v>
      </c>
      <c r="E1163" s="66">
        <v>100</v>
      </c>
      <c r="F1163" s="85">
        <v>45654</v>
      </c>
      <c r="G1163" s="64" t="s">
        <v>1122</v>
      </c>
      <c r="H1163"/>
      <c r="I1163"/>
    </row>
    <row r="1164" spans="1:9" x14ac:dyDescent="0.35">
      <c r="A1164" s="71">
        <f t="shared" si="37"/>
        <v>76735.099999999977</v>
      </c>
      <c r="B1164" s="72">
        <f t="shared" si="36"/>
        <v>-37</v>
      </c>
      <c r="C1164" s="70">
        <v>1163</v>
      </c>
      <c r="E1164" s="66">
        <v>37</v>
      </c>
      <c r="F1164" s="85">
        <v>45654</v>
      </c>
      <c r="G1164" s="64" t="s">
        <v>99</v>
      </c>
      <c r="H1164"/>
      <c r="I1164"/>
    </row>
    <row r="1165" spans="1:9" x14ac:dyDescent="0.35">
      <c r="A1165" s="71">
        <f t="shared" si="37"/>
        <v>73235.099999999977</v>
      </c>
      <c r="B1165" s="72">
        <f t="shared" si="36"/>
        <v>-3500</v>
      </c>
      <c r="C1165" s="70">
        <v>1164</v>
      </c>
      <c r="E1165" s="66">
        <v>3500</v>
      </c>
      <c r="F1165" s="85">
        <v>45654</v>
      </c>
      <c r="G1165" s="64" t="s">
        <v>670</v>
      </c>
      <c r="H1165"/>
      <c r="I1165"/>
    </row>
    <row r="1166" spans="1:9" x14ac:dyDescent="0.35">
      <c r="A1166" s="71">
        <f t="shared" si="37"/>
        <v>78345.099999999977</v>
      </c>
      <c r="B1166" s="72">
        <f t="shared" si="36"/>
        <v>5110</v>
      </c>
      <c r="C1166" s="70">
        <v>1165</v>
      </c>
      <c r="D1166" s="65">
        <v>5185</v>
      </c>
      <c r="E1166" s="66">
        <v>75</v>
      </c>
      <c r="F1166" s="85">
        <v>45654</v>
      </c>
      <c r="G1166" s="64" t="s">
        <v>587</v>
      </c>
      <c r="H1166"/>
      <c r="I1166"/>
    </row>
    <row r="1167" spans="1:9" x14ac:dyDescent="0.35">
      <c r="A1167" s="71">
        <f t="shared" si="37"/>
        <v>79245.099999999977</v>
      </c>
      <c r="B1167" s="72">
        <f t="shared" si="36"/>
        <v>900</v>
      </c>
      <c r="C1167" s="70">
        <v>1166</v>
      </c>
      <c r="D1167" s="65">
        <v>900</v>
      </c>
      <c r="F1167" s="85">
        <v>45655</v>
      </c>
      <c r="G1167" s="64" t="s">
        <v>671</v>
      </c>
      <c r="H1167"/>
      <c r="I1167"/>
    </row>
    <row r="1168" spans="1:9" x14ac:dyDescent="0.35">
      <c r="A1168" s="71">
        <f t="shared" si="37"/>
        <v>101465.09999999998</v>
      </c>
      <c r="B1168" s="72">
        <f t="shared" si="36"/>
        <v>22220</v>
      </c>
      <c r="C1168" s="70">
        <v>1167</v>
      </c>
      <c r="D1168" s="65">
        <v>22920</v>
      </c>
      <c r="E1168" s="66">
        <v>700</v>
      </c>
      <c r="F1168" s="85">
        <v>45655</v>
      </c>
      <c r="G1168" s="64" t="s">
        <v>120</v>
      </c>
      <c r="H1168"/>
      <c r="I1168"/>
    </row>
    <row r="1169" spans="1:9" x14ac:dyDescent="0.35">
      <c r="A1169" s="71">
        <f t="shared" si="37"/>
        <v>101345.09999999998</v>
      </c>
      <c r="B1169" s="72">
        <f t="shared" si="36"/>
        <v>-120</v>
      </c>
      <c r="C1169" s="70">
        <v>1168</v>
      </c>
      <c r="E1169" s="66">
        <v>120</v>
      </c>
      <c r="F1169" s="85">
        <v>45655</v>
      </c>
      <c r="G1169" s="64" t="s">
        <v>65</v>
      </c>
      <c r="H1169"/>
      <c r="I1169"/>
    </row>
    <row r="1170" spans="1:9" x14ac:dyDescent="0.35">
      <c r="A1170" s="71">
        <f t="shared" si="37"/>
        <v>101260.09999999998</v>
      </c>
      <c r="B1170" s="72">
        <f t="shared" si="36"/>
        <v>-85</v>
      </c>
      <c r="C1170" s="70">
        <v>1169</v>
      </c>
      <c r="E1170" s="66">
        <v>85</v>
      </c>
      <c r="F1170" s="85">
        <v>45655</v>
      </c>
      <c r="G1170" s="64" t="s">
        <v>673</v>
      </c>
      <c r="H1170"/>
      <c r="I1170"/>
    </row>
    <row r="1171" spans="1:9" x14ac:dyDescent="0.35">
      <c r="A1171" s="71">
        <f t="shared" si="37"/>
        <v>101185.09999999998</v>
      </c>
      <c r="B1171" s="72">
        <f t="shared" si="36"/>
        <v>-75</v>
      </c>
      <c r="C1171" s="70">
        <v>1170</v>
      </c>
      <c r="E1171" s="66">
        <v>75</v>
      </c>
      <c r="F1171" s="85">
        <v>45655</v>
      </c>
      <c r="G1171" s="64" t="s">
        <v>672</v>
      </c>
      <c r="H1171"/>
      <c r="I1171"/>
    </row>
    <row r="1172" spans="1:9" x14ac:dyDescent="0.35">
      <c r="A1172" s="71">
        <f t="shared" si="37"/>
        <v>104018.09999999998</v>
      </c>
      <c r="B1172" s="72">
        <f t="shared" si="36"/>
        <v>2833</v>
      </c>
      <c r="C1172" s="70">
        <v>1171</v>
      </c>
      <c r="D1172" s="65">
        <v>2950</v>
      </c>
      <c r="E1172" s="66">
        <v>117</v>
      </c>
      <c r="F1172" s="85">
        <v>45656</v>
      </c>
      <c r="G1172" s="64" t="s">
        <v>674</v>
      </c>
      <c r="H1172"/>
      <c r="I1172"/>
    </row>
    <row r="1173" spans="1:9" x14ac:dyDescent="0.35">
      <c r="A1173" s="71">
        <f t="shared" si="37"/>
        <v>103843.09999999998</v>
      </c>
      <c r="B1173" s="72">
        <f t="shared" si="36"/>
        <v>-175</v>
      </c>
      <c r="C1173" s="70">
        <v>1172</v>
      </c>
      <c r="E1173" s="66">
        <v>175</v>
      </c>
      <c r="F1173" s="85">
        <v>45656</v>
      </c>
      <c r="G1173" s="64" t="s">
        <v>0</v>
      </c>
      <c r="H1173"/>
      <c r="I1173"/>
    </row>
    <row r="1174" spans="1:9" x14ac:dyDescent="0.35">
      <c r="A1174" s="71">
        <f t="shared" si="37"/>
        <v>102843.09999999998</v>
      </c>
      <c r="B1174" s="72">
        <f t="shared" si="36"/>
        <v>-1000</v>
      </c>
      <c r="C1174" s="70">
        <v>1173</v>
      </c>
      <c r="E1174" s="66">
        <v>1000</v>
      </c>
      <c r="F1174" s="85">
        <v>45657</v>
      </c>
      <c r="G1174" s="64" t="s">
        <v>24</v>
      </c>
      <c r="H1174"/>
      <c r="I1174"/>
    </row>
    <row r="1175" spans="1:9" x14ac:dyDescent="0.35">
      <c r="A1175" s="71">
        <f t="shared" si="37"/>
        <v>112878.09999999998</v>
      </c>
      <c r="B1175" s="72">
        <f t="shared" si="36"/>
        <v>10035</v>
      </c>
      <c r="C1175" s="70">
        <v>1174</v>
      </c>
      <c r="D1175" s="65">
        <v>10055</v>
      </c>
      <c r="E1175" s="66">
        <v>20</v>
      </c>
      <c r="F1175" s="85">
        <v>45657</v>
      </c>
      <c r="G1175" s="64" t="s">
        <v>53</v>
      </c>
      <c r="H1175"/>
      <c r="I1175"/>
    </row>
    <row r="1176" spans="1:9" x14ac:dyDescent="0.35">
      <c r="A1176" s="71">
        <f t="shared" si="37"/>
        <v>97868.099999999977</v>
      </c>
      <c r="B1176" s="72">
        <f t="shared" si="36"/>
        <v>-15010</v>
      </c>
      <c r="C1176" s="70">
        <v>1175</v>
      </c>
      <c r="E1176" s="66">
        <v>15010</v>
      </c>
      <c r="F1176" s="85">
        <v>45657</v>
      </c>
      <c r="G1176" s="64" t="s">
        <v>146</v>
      </c>
      <c r="H1176"/>
      <c r="I1176"/>
    </row>
    <row r="1177" spans="1:9" x14ac:dyDescent="0.35">
      <c r="A1177" s="71">
        <f t="shared" si="37"/>
        <v>96868.099999999977</v>
      </c>
      <c r="B1177" s="72">
        <f t="shared" si="36"/>
        <v>-1000</v>
      </c>
      <c r="C1177" s="70">
        <v>1176</v>
      </c>
      <c r="E1177" s="66">
        <v>1000</v>
      </c>
      <c r="F1177" s="85">
        <v>45657</v>
      </c>
      <c r="G1177" s="64" t="s">
        <v>675</v>
      </c>
      <c r="H1177"/>
      <c r="I1177"/>
    </row>
    <row r="1178" spans="1:9" x14ac:dyDescent="0.35">
      <c r="A1178" s="71">
        <f t="shared" si="37"/>
        <v>96793.099999999977</v>
      </c>
      <c r="B1178" s="72">
        <f t="shared" si="36"/>
        <v>-75</v>
      </c>
      <c r="C1178" s="70">
        <v>1177</v>
      </c>
      <c r="E1178" s="66">
        <v>75</v>
      </c>
      <c r="F1178" s="85">
        <v>45657</v>
      </c>
      <c r="G1178" s="64" t="s">
        <v>546</v>
      </c>
      <c r="H1178"/>
      <c r="I1178"/>
    </row>
    <row r="1179" spans="1:9" x14ac:dyDescent="0.35">
      <c r="A1179" s="71">
        <f t="shared" si="37"/>
        <v>33377.099999999977</v>
      </c>
      <c r="B1179" s="72">
        <f t="shared" si="36"/>
        <v>-63416</v>
      </c>
      <c r="C1179" s="70">
        <v>1178</v>
      </c>
      <c r="E1179" s="66">
        <v>63416</v>
      </c>
      <c r="F1179" s="85">
        <v>45658</v>
      </c>
      <c r="G1179" s="64" t="s">
        <v>298</v>
      </c>
      <c r="H1179"/>
      <c r="I1179"/>
    </row>
    <row r="1180" spans="1:9" x14ac:dyDescent="0.35">
      <c r="A1180" s="71">
        <f t="shared" si="37"/>
        <v>39657.099999999977</v>
      </c>
      <c r="B1180" s="72">
        <f t="shared" si="36"/>
        <v>6280</v>
      </c>
      <c r="C1180" s="70">
        <v>1179</v>
      </c>
      <c r="D1180" s="65">
        <v>6430</v>
      </c>
      <c r="E1180" s="66">
        <v>150</v>
      </c>
      <c r="F1180" s="85">
        <v>45658</v>
      </c>
      <c r="G1180" s="64" t="s">
        <v>552</v>
      </c>
      <c r="H1180"/>
      <c r="I1180"/>
    </row>
    <row r="1181" spans="1:9" x14ac:dyDescent="0.35">
      <c r="A1181" s="71">
        <f t="shared" si="37"/>
        <v>39257.099999999977</v>
      </c>
      <c r="B1181" s="72">
        <f t="shared" si="36"/>
        <v>-400</v>
      </c>
      <c r="C1181" s="70">
        <v>1180</v>
      </c>
      <c r="E1181" s="66">
        <v>400</v>
      </c>
      <c r="F1181" s="85">
        <v>45658</v>
      </c>
      <c r="G1181" s="64" t="s">
        <v>120</v>
      </c>
      <c r="H1181"/>
      <c r="I1181"/>
    </row>
    <row r="1182" spans="1:9" x14ac:dyDescent="0.35">
      <c r="A1182" s="71">
        <f t="shared" si="37"/>
        <v>39077.099999999977</v>
      </c>
      <c r="B1182" s="72">
        <f t="shared" si="36"/>
        <v>-180</v>
      </c>
      <c r="C1182" s="70">
        <v>1181</v>
      </c>
      <c r="E1182" s="66">
        <v>180</v>
      </c>
      <c r="F1182" s="85">
        <v>45658</v>
      </c>
      <c r="G1182" s="64" t="s">
        <v>602</v>
      </c>
      <c r="H1182"/>
      <c r="I1182"/>
    </row>
    <row r="1183" spans="1:9" x14ac:dyDescent="0.35">
      <c r="A1183" s="71">
        <f t="shared" si="37"/>
        <v>38927.099999999977</v>
      </c>
      <c r="B1183" s="72">
        <f t="shared" si="36"/>
        <v>-150</v>
      </c>
      <c r="C1183" s="70">
        <v>1182</v>
      </c>
      <c r="E1183" s="66">
        <v>150</v>
      </c>
      <c r="F1183" s="85">
        <v>45658</v>
      </c>
      <c r="G1183" s="64" t="s">
        <v>448</v>
      </c>
      <c r="H1183"/>
      <c r="I1183"/>
    </row>
    <row r="1184" spans="1:9" x14ac:dyDescent="0.35">
      <c r="A1184" s="71">
        <f t="shared" si="37"/>
        <v>38842.099999999977</v>
      </c>
      <c r="B1184" s="72">
        <f t="shared" si="36"/>
        <v>-85</v>
      </c>
      <c r="C1184" s="70">
        <v>1183</v>
      </c>
      <c r="E1184" s="66">
        <v>85</v>
      </c>
      <c r="F1184" s="85">
        <v>45658</v>
      </c>
      <c r="G1184" s="64" t="s">
        <v>400</v>
      </c>
      <c r="H1184"/>
      <c r="I1184"/>
    </row>
    <row r="1185" spans="1:9" x14ac:dyDescent="0.35">
      <c r="A1185" s="71">
        <f t="shared" si="37"/>
        <v>41317.099999999977</v>
      </c>
      <c r="B1185" s="72">
        <f t="shared" si="36"/>
        <v>2475</v>
      </c>
      <c r="C1185" s="70">
        <v>1184</v>
      </c>
      <c r="D1185" s="65">
        <v>2475</v>
      </c>
      <c r="F1185" s="85">
        <v>45658</v>
      </c>
      <c r="G1185" s="64" t="s">
        <v>609</v>
      </c>
      <c r="H1185"/>
      <c r="I1185"/>
    </row>
    <row r="1186" spans="1:9" x14ac:dyDescent="0.35">
      <c r="A1186" s="71">
        <f t="shared" si="37"/>
        <v>41762.099999999977</v>
      </c>
      <c r="B1186" s="72">
        <f t="shared" si="36"/>
        <v>445</v>
      </c>
      <c r="C1186" s="70">
        <v>1185</v>
      </c>
      <c r="D1186" s="65">
        <v>615</v>
      </c>
      <c r="E1186" s="66">
        <v>170</v>
      </c>
      <c r="F1186" s="85">
        <v>45659</v>
      </c>
      <c r="G1186" s="64" t="s">
        <v>624</v>
      </c>
      <c r="H1186"/>
      <c r="I1186"/>
    </row>
    <row r="1187" spans="1:9" x14ac:dyDescent="0.35">
      <c r="A1187" s="71">
        <f t="shared" si="37"/>
        <v>41677.099999999977</v>
      </c>
      <c r="B1187" s="72">
        <f t="shared" si="36"/>
        <v>-85</v>
      </c>
      <c r="C1187" s="70">
        <v>1186</v>
      </c>
      <c r="E1187" s="66">
        <v>85</v>
      </c>
      <c r="F1187" s="85">
        <v>45659</v>
      </c>
      <c r="G1187" s="64" t="s">
        <v>400</v>
      </c>
      <c r="H1187"/>
      <c r="I1187"/>
    </row>
    <row r="1188" spans="1:9" x14ac:dyDescent="0.35">
      <c r="A1188" s="71">
        <f t="shared" si="37"/>
        <v>41617.099999999977</v>
      </c>
      <c r="B1188" s="72">
        <f t="shared" si="36"/>
        <v>-60</v>
      </c>
      <c r="C1188" s="70">
        <v>1187</v>
      </c>
      <c r="E1188" s="66">
        <v>60</v>
      </c>
      <c r="F1188" s="85">
        <v>45659</v>
      </c>
      <c r="G1188" s="64" t="s">
        <v>250</v>
      </c>
      <c r="H1188"/>
      <c r="I1188"/>
    </row>
    <row r="1189" spans="1:9" x14ac:dyDescent="0.35">
      <c r="A1189" s="71">
        <f t="shared" si="37"/>
        <v>51922.099999999977</v>
      </c>
      <c r="B1189" s="72">
        <f t="shared" si="36"/>
        <v>10305</v>
      </c>
      <c r="C1189" s="70">
        <v>1188</v>
      </c>
      <c r="D1189" s="65">
        <v>10455</v>
      </c>
      <c r="E1189" s="66">
        <v>150</v>
      </c>
      <c r="F1189" s="85">
        <v>45661</v>
      </c>
      <c r="G1189" s="64" t="s">
        <v>448</v>
      </c>
      <c r="H1189"/>
      <c r="I1189"/>
    </row>
    <row r="1190" spans="1:9" x14ac:dyDescent="0.35">
      <c r="A1190" s="71">
        <f t="shared" si="37"/>
        <v>51842.099999999977</v>
      </c>
      <c r="B1190" s="72">
        <f t="shared" si="36"/>
        <v>-80</v>
      </c>
      <c r="C1190" s="70">
        <v>1189</v>
      </c>
      <c r="E1190" s="66">
        <v>80</v>
      </c>
      <c r="F1190" s="85">
        <v>45661</v>
      </c>
      <c r="G1190" s="64" t="s">
        <v>171</v>
      </c>
      <c r="H1190"/>
      <c r="I1190"/>
    </row>
    <row r="1191" spans="1:9" x14ac:dyDescent="0.35">
      <c r="A1191" s="71">
        <f t="shared" si="37"/>
        <v>51622.099999999977</v>
      </c>
      <c r="B1191" s="72">
        <f t="shared" si="36"/>
        <v>-220</v>
      </c>
      <c r="C1191" s="70">
        <v>1190</v>
      </c>
      <c r="E1191" s="66">
        <v>220</v>
      </c>
      <c r="F1191" s="85">
        <v>45661</v>
      </c>
      <c r="G1191" s="64" t="s">
        <v>50</v>
      </c>
      <c r="H1191"/>
      <c r="I1191"/>
    </row>
    <row r="1192" spans="1:9" x14ac:dyDescent="0.35">
      <c r="A1192" s="71">
        <f t="shared" si="37"/>
        <v>51472.099999999977</v>
      </c>
      <c r="B1192" s="72">
        <f t="shared" si="36"/>
        <v>-150</v>
      </c>
      <c r="C1192" s="70">
        <v>1191</v>
      </c>
      <c r="E1192" s="66">
        <v>150</v>
      </c>
      <c r="F1192" s="85">
        <v>45661</v>
      </c>
      <c r="G1192" s="64" t="s">
        <v>554</v>
      </c>
      <c r="H1192"/>
      <c r="I1192"/>
    </row>
    <row r="1193" spans="1:9" x14ac:dyDescent="0.35">
      <c r="A1193" s="71">
        <f t="shared" si="37"/>
        <v>51272.099999999977</v>
      </c>
      <c r="B1193" s="72">
        <f t="shared" si="36"/>
        <v>-200</v>
      </c>
      <c r="C1193" s="70">
        <v>1192</v>
      </c>
      <c r="E1193" s="66">
        <v>200</v>
      </c>
      <c r="F1193" s="85">
        <v>45661</v>
      </c>
      <c r="G1193" s="64" t="s">
        <v>120</v>
      </c>
      <c r="H1193"/>
      <c r="I1193"/>
    </row>
    <row r="1194" spans="1:9" x14ac:dyDescent="0.35">
      <c r="A1194" s="71">
        <f t="shared" si="37"/>
        <v>32022.099999999977</v>
      </c>
      <c r="B1194" s="72">
        <f t="shared" si="36"/>
        <v>-19250</v>
      </c>
      <c r="C1194" s="70">
        <v>1193</v>
      </c>
      <c r="E1194" s="66">
        <v>19250</v>
      </c>
      <c r="F1194" s="85">
        <v>45661</v>
      </c>
      <c r="G1194" s="64" t="s">
        <v>677</v>
      </c>
      <c r="H1194"/>
      <c r="I1194"/>
    </row>
    <row r="1195" spans="1:9" x14ac:dyDescent="0.35">
      <c r="A1195" s="71">
        <f t="shared" si="37"/>
        <v>31202.099999999977</v>
      </c>
      <c r="B1195" s="72">
        <f t="shared" si="36"/>
        <v>-820</v>
      </c>
      <c r="C1195" s="70">
        <v>1194</v>
      </c>
      <c r="E1195" s="66">
        <v>820</v>
      </c>
      <c r="F1195" s="85">
        <v>45661</v>
      </c>
      <c r="G1195" s="64" t="s">
        <v>619</v>
      </c>
      <c r="H1195"/>
      <c r="I1195"/>
    </row>
    <row r="1196" spans="1:9" x14ac:dyDescent="0.35">
      <c r="A1196" s="71">
        <f t="shared" si="37"/>
        <v>30702.099999999977</v>
      </c>
      <c r="B1196" s="72">
        <f t="shared" si="36"/>
        <v>-500</v>
      </c>
      <c r="C1196" s="70">
        <v>1195</v>
      </c>
      <c r="E1196" s="66">
        <v>500</v>
      </c>
      <c r="F1196" s="85">
        <v>45661</v>
      </c>
      <c r="G1196" s="64" t="s">
        <v>678</v>
      </c>
      <c r="H1196"/>
      <c r="I1196"/>
    </row>
    <row r="1197" spans="1:9" x14ac:dyDescent="0.35">
      <c r="A1197" s="71">
        <f t="shared" si="37"/>
        <v>29837.099999999977</v>
      </c>
      <c r="B1197" s="72">
        <f t="shared" si="36"/>
        <v>-865</v>
      </c>
      <c r="C1197" s="70">
        <v>1196</v>
      </c>
      <c r="E1197" s="66">
        <v>865</v>
      </c>
      <c r="F1197" s="85">
        <v>45661</v>
      </c>
      <c r="G1197" s="64" t="s">
        <v>679</v>
      </c>
      <c r="H1197"/>
      <c r="I1197"/>
    </row>
    <row r="1198" spans="1:9" x14ac:dyDescent="0.35">
      <c r="A1198" s="71">
        <f t="shared" si="37"/>
        <v>88437.099999999977</v>
      </c>
      <c r="B1198" s="72">
        <f t="shared" si="36"/>
        <v>58600</v>
      </c>
      <c r="C1198" s="70">
        <v>1197</v>
      </c>
      <c r="D1198" s="65">
        <v>58600</v>
      </c>
      <c r="F1198" s="85">
        <v>45661</v>
      </c>
      <c r="G1198" s="64" t="s">
        <v>681</v>
      </c>
      <c r="H1198"/>
      <c r="I1198"/>
    </row>
    <row r="1199" spans="1:9" x14ac:dyDescent="0.35">
      <c r="A1199" s="71">
        <f t="shared" si="37"/>
        <v>33437.099999999977</v>
      </c>
      <c r="B1199" s="72">
        <f t="shared" si="36"/>
        <v>-55000</v>
      </c>
      <c r="C1199" s="70">
        <v>1198</v>
      </c>
      <c r="E1199" s="66">
        <v>55000</v>
      </c>
      <c r="F1199" s="85">
        <v>45662</v>
      </c>
      <c r="G1199" s="64" t="s">
        <v>682</v>
      </c>
      <c r="H1199"/>
      <c r="I1199"/>
    </row>
    <row r="1200" spans="1:9" x14ac:dyDescent="0.35">
      <c r="A1200" s="71">
        <f t="shared" si="37"/>
        <v>39637.099999999977</v>
      </c>
      <c r="B1200" s="72">
        <f t="shared" si="36"/>
        <v>6200</v>
      </c>
      <c r="C1200" s="70">
        <v>1199</v>
      </c>
      <c r="D1200" s="65">
        <v>6200</v>
      </c>
      <c r="F1200" s="85">
        <v>45662</v>
      </c>
      <c r="G1200" s="64" t="s">
        <v>683</v>
      </c>
      <c r="H1200"/>
      <c r="I1200"/>
    </row>
    <row r="1201" spans="1:9" x14ac:dyDescent="0.35">
      <c r="A1201" s="71">
        <f t="shared" si="37"/>
        <v>13037.099999999977</v>
      </c>
      <c r="B1201" s="72">
        <f t="shared" si="36"/>
        <v>-26600</v>
      </c>
      <c r="C1201" s="70">
        <v>1200</v>
      </c>
      <c r="E1201" s="66">
        <v>26600</v>
      </c>
      <c r="F1201" s="85">
        <v>45662</v>
      </c>
      <c r="G1201" s="64" t="s">
        <v>15</v>
      </c>
      <c r="H1201"/>
      <c r="I1201"/>
    </row>
    <row r="1202" spans="1:9" x14ac:dyDescent="0.35">
      <c r="A1202" s="71">
        <f t="shared" si="37"/>
        <v>19142.099999999977</v>
      </c>
      <c r="B1202" s="72">
        <f t="shared" si="36"/>
        <v>6105</v>
      </c>
      <c r="C1202" s="70">
        <v>1201</v>
      </c>
      <c r="D1202" s="65">
        <v>6105</v>
      </c>
      <c r="F1202" s="85">
        <v>45662</v>
      </c>
      <c r="G1202" s="64" t="s">
        <v>12</v>
      </c>
      <c r="H1202"/>
      <c r="I1202"/>
    </row>
    <row r="1203" spans="1:9" x14ac:dyDescent="0.35">
      <c r="A1203" s="71">
        <f t="shared" si="37"/>
        <v>18292.099999999977</v>
      </c>
      <c r="B1203" s="72">
        <f t="shared" si="36"/>
        <v>-850</v>
      </c>
      <c r="C1203" s="70">
        <v>1202</v>
      </c>
      <c r="E1203" s="66">
        <v>850</v>
      </c>
      <c r="F1203" s="85">
        <v>45662</v>
      </c>
      <c r="G1203" s="64" t="s">
        <v>684</v>
      </c>
      <c r="H1203"/>
      <c r="I1203"/>
    </row>
    <row r="1204" spans="1:9" x14ac:dyDescent="0.35">
      <c r="A1204" s="71">
        <f t="shared" si="37"/>
        <v>17842.099999999977</v>
      </c>
      <c r="B1204" s="72">
        <f t="shared" si="36"/>
        <v>-450</v>
      </c>
      <c r="C1204" s="70">
        <v>1203</v>
      </c>
      <c r="E1204" s="66">
        <v>450</v>
      </c>
      <c r="F1204" s="85">
        <v>45662</v>
      </c>
      <c r="G1204" s="64" t="s">
        <v>685</v>
      </c>
      <c r="H1204"/>
      <c r="I1204"/>
    </row>
    <row r="1205" spans="1:9" x14ac:dyDescent="0.35">
      <c r="A1205" s="71">
        <f t="shared" si="37"/>
        <v>17757.099999999977</v>
      </c>
      <c r="B1205" s="72">
        <f t="shared" si="36"/>
        <v>-85</v>
      </c>
      <c r="C1205" s="70">
        <v>1204</v>
      </c>
      <c r="E1205" s="66">
        <v>85</v>
      </c>
      <c r="F1205" s="85">
        <v>45662</v>
      </c>
      <c r="G1205" s="64" t="s">
        <v>657</v>
      </c>
      <c r="H1205"/>
      <c r="I1205"/>
    </row>
    <row r="1206" spans="1:9" x14ac:dyDescent="0.35">
      <c r="A1206" s="71">
        <f t="shared" si="37"/>
        <v>17557.099999999977</v>
      </c>
      <c r="B1206" s="72">
        <f t="shared" si="36"/>
        <v>-200</v>
      </c>
      <c r="C1206" s="70">
        <v>1205</v>
      </c>
      <c r="E1206" s="66">
        <v>200</v>
      </c>
      <c r="F1206" s="85">
        <v>45663</v>
      </c>
      <c r="G1206" s="64" t="s">
        <v>686</v>
      </c>
      <c r="H1206"/>
      <c r="I1206"/>
    </row>
    <row r="1207" spans="1:9" x14ac:dyDescent="0.35">
      <c r="A1207" s="71">
        <f t="shared" si="37"/>
        <v>15557.099999999977</v>
      </c>
      <c r="B1207" s="72">
        <f t="shared" si="36"/>
        <v>-2000</v>
      </c>
      <c r="C1207" s="70">
        <v>1206</v>
      </c>
      <c r="E1207" s="66">
        <v>2000</v>
      </c>
      <c r="F1207" s="85">
        <v>45663</v>
      </c>
      <c r="G1207" s="64" t="s">
        <v>688</v>
      </c>
      <c r="H1207"/>
      <c r="I1207"/>
    </row>
    <row r="1208" spans="1:9" x14ac:dyDescent="0.35">
      <c r="A1208" s="71">
        <f t="shared" si="37"/>
        <v>14257.099999999977</v>
      </c>
      <c r="B1208" s="72">
        <f t="shared" si="36"/>
        <v>-1300</v>
      </c>
      <c r="C1208" s="70">
        <v>1207</v>
      </c>
      <c r="E1208" s="66">
        <v>1300</v>
      </c>
      <c r="F1208" s="85">
        <v>45663</v>
      </c>
      <c r="G1208" s="64" t="s">
        <v>687</v>
      </c>
      <c r="H1208"/>
      <c r="I1208"/>
    </row>
    <row r="1209" spans="1:9" x14ac:dyDescent="0.35">
      <c r="A1209" s="71">
        <f t="shared" si="37"/>
        <v>14207.099999999977</v>
      </c>
      <c r="B1209" s="72">
        <f t="shared" si="36"/>
        <v>-50</v>
      </c>
      <c r="C1209" s="70">
        <v>1208</v>
      </c>
      <c r="E1209" s="66">
        <v>50</v>
      </c>
      <c r="F1209" s="85">
        <v>45663</v>
      </c>
      <c r="G1209" s="64" t="s">
        <v>107</v>
      </c>
      <c r="H1209"/>
      <c r="I1209"/>
    </row>
    <row r="1210" spans="1:9" x14ac:dyDescent="0.35">
      <c r="A1210" s="71">
        <f t="shared" si="37"/>
        <v>16047.099999999977</v>
      </c>
      <c r="B1210" s="72">
        <f t="shared" si="36"/>
        <v>1840</v>
      </c>
      <c r="C1210" s="70">
        <v>1209</v>
      </c>
      <c r="D1210" s="65">
        <v>1925</v>
      </c>
      <c r="E1210" s="66">
        <v>85</v>
      </c>
      <c r="F1210" s="85">
        <v>45663</v>
      </c>
      <c r="G1210" s="64" t="s">
        <v>400</v>
      </c>
      <c r="H1210"/>
      <c r="I1210"/>
    </row>
    <row r="1211" spans="1:9" x14ac:dyDescent="0.35">
      <c r="A1211" s="71">
        <f t="shared" si="37"/>
        <v>53457.099999999977</v>
      </c>
      <c r="B1211" s="72">
        <f t="shared" si="36"/>
        <v>37410</v>
      </c>
      <c r="C1211" s="70">
        <v>1210</v>
      </c>
      <c r="D1211" s="65">
        <v>37470</v>
      </c>
      <c r="E1211" s="66">
        <v>60</v>
      </c>
      <c r="F1211" s="85">
        <v>45664</v>
      </c>
      <c r="G1211" s="64" t="s">
        <v>689</v>
      </c>
      <c r="H1211"/>
      <c r="I1211"/>
    </row>
    <row r="1212" spans="1:9" x14ac:dyDescent="0.35">
      <c r="A1212" s="71">
        <f t="shared" si="37"/>
        <v>53372.099999999977</v>
      </c>
      <c r="B1212" s="72">
        <f t="shared" si="36"/>
        <v>-85</v>
      </c>
      <c r="C1212" s="70">
        <v>1211</v>
      </c>
      <c r="E1212" s="66">
        <v>85</v>
      </c>
      <c r="F1212" s="85">
        <v>45664</v>
      </c>
      <c r="G1212" s="64" t="s">
        <v>690</v>
      </c>
      <c r="H1212"/>
      <c r="I1212"/>
    </row>
    <row r="1213" spans="1:9" x14ac:dyDescent="0.35">
      <c r="A1213" s="71">
        <f t="shared" si="37"/>
        <v>52672.099999999977</v>
      </c>
      <c r="B1213" s="72">
        <f t="shared" si="36"/>
        <v>-700</v>
      </c>
      <c r="C1213" s="70">
        <v>1212</v>
      </c>
      <c r="E1213" s="66">
        <v>700</v>
      </c>
      <c r="F1213" s="85">
        <v>45664</v>
      </c>
      <c r="G1213" s="64" t="s">
        <v>555</v>
      </c>
      <c r="H1213"/>
      <c r="I1213"/>
    </row>
    <row r="1214" spans="1:9" x14ac:dyDescent="0.35">
      <c r="A1214" s="71">
        <f t="shared" si="37"/>
        <v>52598.099999999977</v>
      </c>
      <c r="B1214" s="72">
        <f t="shared" si="36"/>
        <v>-74</v>
      </c>
      <c r="C1214" s="70">
        <v>1213</v>
      </c>
      <c r="E1214" s="66">
        <v>74</v>
      </c>
      <c r="F1214" s="85">
        <v>45664</v>
      </c>
      <c r="G1214" s="64" t="s">
        <v>368</v>
      </c>
      <c r="H1214"/>
      <c r="I1214"/>
    </row>
    <row r="1215" spans="1:9" x14ac:dyDescent="0.35">
      <c r="A1215" s="71">
        <f t="shared" si="37"/>
        <v>65588.099999999977</v>
      </c>
      <c r="B1215" s="72">
        <f t="shared" si="36"/>
        <v>12990</v>
      </c>
      <c r="C1215" s="70">
        <v>1214</v>
      </c>
      <c r="D1215" s="65">
        <v>14940</v>
      </c>
      <c r="E1215" s="66">
        <v>1950</v>
      </c>
      <c r="F1215" s="85">
        <v>45665</v>
      </c>
      <c r="G1215" s="64" t="s">
        <v>691</v>
      </c>
      <c r="H1215"/>
      <c r="I1215"/>
    </row>
    <row r="1216" spans="1:9" x14ac:dyDescent="0.35">
      <c r="A1216" s="71">
        <f t="shared" si="37"/>
        <v>65603.099999999977</v>
      </c>
      <c r="B1216" s="72">
        <f t="shared" si="36"/>
        <v>15</v>
      </c>
      <c r="C1216" s="70">
        <v>1215</v>
      </c>
      <c r="D1216" s="65">
        <v>15</v>
      </c>
      <c r="F1216" s="85">
        <v>45665</v>
      </c>
      <c r="G1216" s="64" t="s">
        <v>692</v>
      </c>
      <c r="H1216"/>
      <c r="I1216"/>
    </row>
    <row r="1217" spans="1:9" x14ac:dyDescent="0.35">
      <c r="A1217" s="71">
        <f t="shared" si="37"/>
        <v>65528.099999999977</v>
      </c>
      <c r="B1217" s="72">
        <f t="shared" si="36"/>
        <v>-75</v>
      </c>
      <c r="C1217" s="70">
        <v>1216</v>
      </c>
      <c r="E1217" s="66">
        <v>75</v>
      </c>
      <c r="F1217" s="85">
        <v>45665</v>
      </c>
      <c r="G1217" s="64" t="s">
        <v>693</v>
      </c>
      <c r="H1217"/>
      <c r="I1217"/>
    </row>
    <row r="1218" spans="1:9" x14ac:dyDescent="0.35">
      <c r="A1218" s="71">
        <f t="shared" si="37"/>
        <v>65443.099999999977</v>
      </c>
      <c r="B1218" s="72">
        <f t="shared" si="36"/>
        <v>-85</v>
      </c>
      <c r="C1218" s="70">
        <v>1217</v>
      </c>
      <c r="E1218" s="66">
        <v>85</v>
      </c>
      <c r="F1218" s="85">
        <v>45665</v>
      </c>
      <c r="G1218" s="64" t="s">
        <v>694</v>
      </c>
      <c r="H1218"/>
      <c r="I1218"/>
    </row>
    <row r="1219" spans="1:9" x14ac:dyDescent="0.35">
      <c r="A1219" s="71">
        <f t="shared" si="37"/>
        <v>34232.099999999977</v>
      </c>
      <c r="B1219" s="72">
        <f t="shared" ref="B1219:B1282" si="38">SUM(D1219-E1219)</f>
        <v>-31211</v>
      </c>
      <c r="C1219" s="70">
        <v>1218</v>
      </c>
      <c r="E1219" s="66">
        <v>31211</v>
      </c>
      <c r="F1219" s="85">
        <v>45666</v>
      </c>
      <c r="G1219" s="64" t="s">
        <v>18</v>
      </c>
      <c r="H1219"/>
      <c r="I1219"/>
    </row>
    <row r="1220" spans="1:9" x14ac:dyDescent="0.35">
      <c r="A1220" s="71">
        <f t="shared" ref="A1220:A1283" si="39">SUM(A1219+B1220)</f>
        <v>18232.099999999977</v>
      </c>
      <c r="B1220" s="72">
        <f t="shared" si="38"/>
        <v>-16000</v>
      </c>
      <c r="C1220" s="70">
        <v>1219</v>
      </c>
      <c r="E1220" s="66">
        <v>16000</v>
      </c>
      <c r="F1220" s="85">
        <v>45666</v>
      </c>
      <c r="G1220" s="64" t="s">
        <v>279</v>
      </c>
      <c r="H1220"/>
      <c r="I1220"/>
    </row>
    <row r="1221" spans="1:9" x14ac:dyDescent="0.35">
      <c r="A1221" s="71">
        <f t="shared" si="39"/>
        <v>18792.099999999977</v>
      </c>
      <c r="B1221" s="72">
        <f t="shared" si="38"/>
        <v>560</v>
      </c>
      <c r="C1221" s="70">
        <v>1220</v>
      </c>
      <c r="D1221" s="65">
        <v>560</v>
      </c>
      <c r="F1221" s="85">
        <v>45666</v>
      </c>
      <c r="G1221" s="64" t="s">
        <v>12</v>
      </c>
      <c r="H1221"/>
      <c r="I1221"/>
    </row>
    <row r="1222" spans="1:9" x14ac:dyDescent="0.35">
      <c r="A1222" s="71">
        <f t="shared" si="39"/>
        <v>14792.099999999977</v>
      </c>
      <c r="B1222" s="72">
        <f t="shared" si="38"/>
        <v>-4000</v>
      </c>
      <c r="C1222" s="70">
        <v>1221</v>
      </c>
      <c r="E1222" s="66">
        <v>4000</v>
      </c>
      <c r="F1222" s="85">
        <v>45666</v>
      </c>
      <c r="G1222" s="64" t="s">
        <v>696</v>
      </c>
      <c r="H1222"/>
      <c r="I1222"/>
    </row>
    <row r="1223" spans="1:9" x14ac:dyDescent="0.35">
      <c r="A1223" s="71">
        <f t="shared" si="39"/>
        <v>13692.099999999977</v>
      </c>
      <c r="B1223" s="72">
        <f t="shared" si="38"/>
        <v>-1100</v>
      </c>
      <c r="C1223" s="70">
        <v>1222</v>
      </c>
      <c r="E1223" s="66">
        <v>1100</v>
      </c>
      <c r="F1223" s="85">
        <v>45668</v>
      </c>
      <c r="G1223" s="64" t="s">
        <v>698</v>
      </c>
      <c r="H1223"/>
      <c r="I1223"/>
    </row>
    <row r="1224" spans="1:9" x14ac:dyDescent="0.35">
      <c r="A1224" s="71">
        <f t="shared" si="39"/>
        <v>20192.099999999977</v>
      </c>
      <c r="B1224" s="72">
        <f t="shared" si="38"/>
        <v>6500</v>
      </c>
      <c r="C1224" s="70">
        <v>1223</v>
      </c>
      <c r="D1224" s="65">
        <v>6500</v>
      </c>
      <c r="F1224" s="85">
        <v>45668</v>
      </c>
      <c r="G1224" s="64" t="s">
        <v>12</v>
      </c>
      <c r="H1224"/>
      <c r="I1224"/>
    </row>
    <row r="1225" spans="1:9" x14ac:dyDescent="0.35">
      <c r="A1225" s="71">
        <f t="shared" si="39"/>
        <v>19942.099999999977</v>
      </c>
      <c r="B1225" s="72">
        <f t="shared" si="38"/>
        <v>-250</v>
      </c>
      <c r="C1225" s="70">
        <v>1224</v>
      </c>
      <c r="E1225" s="66">
        <v>250</v>
      </c>
      <c r="F1225" s="85">
        <v>45668</v>
      </c>
      <c r="G1225" s="64" t="s">
        <v>697</v>
      </c>
      <c r="H1225"/>
      <c r="I1225"/>
    </row>
    <row r="1226" spans="1:9" x14ac:dyDescent="0.35">
      <c r="A1226" s="71">
        <f t="shared" si="39"/>
        <v>19792.099999999977</v>
      </c>
      <c r="B1226" s="72">
        <f t="shared" si="38"/>
        <v>-150</v>
      </c>
      <c r="C1226" s="70">
        <v>1225</v>
      </c>
      <c r="E1226" s="66">
        <v>150</v>
      </c>
      <c r="F1226" s="85">
        <v>45668</v>
      </c>
      <c r="G1226" s="64" t="s">
        <v>473</v>
      </c>
      <c r="H1226"/>
      <c r="I1226"/>
    </row>
    <row r="1227" spans="1:9" x14ac:dyDescent="0.35">
      <c r="A1227" s="71">
        <f t="shared" si="39"/>
        <v>19622.099999999977</v>
      </c>
      <c r="B1227" s="72">
        <f t="shared" si="38"/>
        <v>-170</v>
      </c>
      <c r="C1227" s="70">
        <v>1226</v>
      </c>
      <c r="E1227" s="66">
        <v>170</v>
      </c>
      <c r="F1227" s="85">
        <v>45668</v>
      </c>
      <c r="G1227" s="64" t="s">
        <v>699</v>
      </c>
      <c r="H1227"/>
      <c r="I1227"/>
    </row>
    <row r="1228" spans="1:9" x14ac:dyDescent="0.35">
      <c r="A1228" s="71">
        <f t="shared" si="39"/>
        <v>19672.099999999977</v>
      </c>
      <c r="B1228" s="72">
        <f t="shared" si="38"/>
        <v>50</v>
      </c>
      <c r="C1228" s="70">
        <v>1227</v>
      </c>
      <c r="D1228" s="65">
        <v>50</v>
      </c>
      <c r="F1228" s="85">
        <v>45669</v>
      </c>
      <c r="G1228" s="64" t="s">
        <v>700</v>
      </c>
      <c r="H1228"/>
      <c r="I1228"/>
    </row>
    <row r="1229" spans="1:9" x14ac:dyDescent="0.35">
      <c r="A1229" s="71">
        <f t="shared" si="39"/>
        <v>42652.099999999977</v>
      </c>
      <c r="B1229" s="72">
        <f t="shared" si="38"/>
        <v>22980</v>
      </c>
      <c r="C1229" s="70">
        <v>1228</v>
      </c>
      <c r="D1229" s="65">
        <v>22980</v>
      </c>
      <c r="F1229" s="85">
        <v>45669</v>
      </c>
      <c r="G1229" s="64" t="s">
        <v>12</v>
      </c>
      <c r="H1229"/>
      <c r="I1229"/>
    </row>
    <row r="1230" spans="1:9" x14ac:dyDescent="0.35">
      <c r="A1230" s="71">
        <f t="shared" si="39"/>
        <v>44937.099999999977</v>
      </c>
      <c r="B1230" s="72">
        <f t="shared" si="38"/>
        <v>2285</v>
      </c>
      <c r="C1230" s="70">
        <v>1229</v>
      </c>
      <c r="D1230" s="65">
        <v>2435</v>
      </c>
      <c r="E1230" s="66">
        <v>150</v>
      </c>
      <c r="F1230" s="85">
        <v>45670</v>
      </c>
      <c r="G1230" s="64" t="s">
        <v>701</v>
      </c>
      <c r="H1230"/>
      <c r="I1230"/>
    </row>
    <row r="1231" spans="1:9" x14ac:dyDescent="0.35">
      <c r="A1231" s="71">
        <f t="shared" si="39"/>
        <v>44852.099999999977</v>
      </c>
      <c r="B1231" s="72">
        <f t="shared" si="38"/>
        <v>-85</v>
      </c>
      <c r="C1231" s="70">
        <v>1230</v>
      </c>
      <c r="E1231" s="66">
        <v>85</v>
      </c>
      <c r="F1231" s="85">
        <v>45670</v>
      </c>
      <c r="G1231" s="64" t="s">
        <v>659</v>
      </c>
      <c r="H1231"/>
      <c r="I1231"/>
    </row>
    <row r="1232" spans="1:9" x14ac:dyDescent="0.35">
      <c r="A1232" s="71">
        <f t="shared" si="39"/>
        <v>40427.099999999977</v>
      </c>
      <c r="B1232" s="72">
        <f t="shared" si="38"/>
        <v>-4425</v>
      </c>
      <c r="C1232" s="70">
        <v>1231</v>
      </c>
      <c r="E1232" s="66">
        <v>4425</v>
      </c>
      <c r="F1232" s="85">
        <v>45671</v>
      </c>
      <c r="G1232" s="64" t="s">
        <v>702</v>
      </c>
      <c r="H1232"/>
      <c r="I1232"/>
    </row>
    <row r="1233" spans="1:9" x14ac:dyDescent="0.35">
      <c r="A1233" s="71">
        <f t="shared" si="39"/>
        <v>39577.099999999977</v>
      </c>
      <c r="B1233" s="72">
        <f t="shared" si="38"/>
        <v>-850</v>
      </c>
      <c r="C1233" s="70">
        <v>1232</v>
      </c>
      <c r="E1233" s="66">
        <v>850</v>
      </c>
      <c r="F1233" s="85">
        <v>45671</v>
      </c>
      <c r="G1233" s="64" t="s">
        <v>177</v>
      </c>
      <c r="H1233"/>
      <c r="I1233"/>
    </row>
    <row r="1234" spans="1:9" x14ac:dyDescent="0.35">
      <c r="A1234" s="71">
        <f t="shared" si="39"/>
        <v>54437.099999999977</v>
      </c>
      <c r="B1234" s="72">
        <f t="shared" si="38"/>
        <v>14860</v>
      </c>
      <c r="C1234" s="70">
        <v>1233</v>
      </c>
      <c r="D1234" s="65">
        <v>14860</v>
      </c>
      <c r="F1234" s="85">
        <v>45671</v>
      </c>
      <c r="G1234" s="64" t="s">
        <v>12</v>
      </c>
      <c r="H1234"/>
      <c r="I1234"/>
    </row>
    <row r="1235" spans="1:9" x14ac:dyDescent="0.35">
      <c r="A1235" s="71">
        <f t="shared" si="39"/>
        <v>54345.099999999977</v>
      </c>
      <c r="B1235" s="72">
        <f t="shared" si="38"/>
        <v>-92</v>
      </c>
      <c r="C1235" s="70">
        <v>1234</v>
      </c>
      <c r="E1235" s="66">
        <v>92</v>
      </c>
      <c r="F1235" s="85">
        <v>45671</v>
      </c>
      <c r="G1235" s="64" t="s">
        <v>250</v>
      </c>
      <c r="H1235"/>
      <c r="I1235"/>
    </row>
    <row r="1236" spans="1:9" x14ac:dyDescent="0.35">
      <c r="A1236" s="71">
        <f t="shared" si="39"/>
        <v>24095.099999999977</v>
      </c>
      <c r="B1236" s="72">
        <f t="shared" si="38"/>
        <v>-30250</v>
      </c>
      <c r="C1236" s="70">
        <v>1235</v>
      </c>
      <c r="E1236" s="66">
        <v>30250</v>
      </c>
      <c r="F1236" s="85">
        <v>45672</v>
      </c>
      <c r="G1236" s="64" t="s">
        <v>703</v>
      </c>
      <c r="H1236"/>
      <c r="I1236"/>
    </row>
    <row r="1237" spans="1:9" x14ac:dyDescent="0.35">
      <c r="A1237" s="71">
        <f t="shared" si="39"/>
        <v>23095.099999999977</v>
      </c>
      <c r="B1237" s="72">
        <f t="shared" si="38"/>
        <v>-1000</v>
      </c>
      <c r="C1237" s="70">
        <v>1236</v>
      </c>
      <c r="E1237" s="66">
        <v>1000</v>
      </c>
      <c r="F1237" s="85">
        <v>45672</v>
      </c>
      <c r="G1237" s="64" t="s">
        <v>704</v>
      </c>
      <c r="H1237"/>
      <c r="I1237"/>
    </row>
    <row r="1238" spans="1:9" x14ac:dyDescent="0.35">
      <c r="A1238" s="71">
        <f t="shared" si="39"/>
        <v>44242.099999999977</v>
      </c>
      <c r="B1238" s="72">
        <f t="shared" si="38"/>
        <v>21147</v>
      </c>
      <c r="C1238" s="70">
        <v>1237</v>
      </c>
      <c r="D1238" s="65">
        <v>21222</v>
      </c>
      <c r="E1238" s="66">
        <v>75</v>
      </c>
      <c r="F1238" s="85">
        <v>45672</v>
      </c>
      <c r="G1238" s="64" t="s">
        <v>476</v>
      </c>
      <c r="H1238"/>
      <c r="I1238"/>
    </row>
    <row r="1239" spans="1:9" x14ac:dyDescent="0.35">
      <c r="A1239" s="71">
        <f t="shared" si="39"/>
        <v>44142.099999999977</v>
      </c>
      <c r="B1239" s="72">
        <f t="shared" si="38"/>
        <v>-100</v>
      </c>
      <c r="C1239" s="70">
        <v>1238</v>
      </c>
      <c r="E1239" s="66">
        <v>100</v>
      </c>
      <c r="F1239" s="85">
        <v>45672</v>
      </c>
      <c r="G1239" s="64" t="s">
        <v>705</v>
      </c>
      <c r="H1239"/>
      <c r="I1239"/>
    </row>
    <row r="1240" spans="1:9" x14ac:dyDescent="0.35">
      <c r="A1240" s="71">
        <f t="shared" si="39"/>
        <v>42142.099999999977</v>
      </c>
      <c r="B1240" s="72">
        <f t="shared" si="38"/>
        <v>-2000</v>
      </c>
      <c r="C1240" s="70">
        <v>1239</v>
      </c>
      <c r="E1240" s="66">
        <v>2000</v>
      </c>
      <c r="F1240" s="85">
        <v>45672</v>
      </c>
      <c r="G1240" s="64" t="s">
        <v>135</v>
      </c>
      <c r="H1240"/>
      <c r="I1240"/>
    </row>
    <row r="1241" spans="1:9" x14ac:dyDescent="0.35">
      <c r="A1241" s="71">
        <f t="shared" si="39"/>
        <v>31972.099999999977</v>
      </c>
      <c r="B1241" s="72">
        <f t="shared" si="38"/>
        <v>-10170</v>
      </c>
      <c r="C1241" s="70">
        <v>1240</v>
      </c>
      <c r="E1241" s="66">
        <v>10170</v>
      </c>
      <c r="F1241" s="85">
        <v>45672</v>
      </c>
      <c r="G1241" s="64" t="s">
        <v>712</v>
      </c>
      <c r="H1241"/>
      <c r="I1241"/>
    </row>
    <row r="1242" spans="1:9" x14ac:dyDescent="0.35">
      <c r="A1242" s="71">
        <f t="shared" si="39"/>
        <v>31994.099999999977</v>
      </c>
      <c r="B1242" s="72">
        <f t="shared" si="38"/>
        <v>22</v>
      </c>
      <c r="C1242" s="70">
        <v>1241</v>
      </c>
      <c r="D1242" s="65">
        <v>22</v>
      </c>
      <c r="F1242" s="85">
        <v>45672</v>
      </c>
      <c r="G1242" s="64" t="s">
        <v>642</v>
      </c>
      <c r="H1242"/>
      <c r="I1242"/>
    </row>
    <row r="1243" spans="1:9" x14ac:dyDescent="0.35">
      <c r="A1243" s="71">
        <f t="shared" si="39"/>
        <v>31844.099999999977</v>
      </c>
      <c r="B1243" s="72">
        <f t="shared" si="38"/>
        <v>-150</v>
      </c>
      <c r="C1243" s="70">
        <v>1242</v>
      </c>
      <c r="E1243" s="66">
        <v>150</v>
      </c>
      <c r="F1243" s="85">
        <v>45673</v>
      </c>
      <c r="G1243" s="64" t="s">
        <v>706</v>
      </c>
      <c r="H1243"/>
      <c r="I1243"/>
    </row>
    <row r="1244" spans="1:9" x14ac:dyDescent="0.35">
      <c r="A1244" s="71">
        <f t="shared" si="39"/>
        <v>31644.099999999977</v>
      </c>
      <c r="B1244" s="72">
        <f t="shared" si="38"/>
        <v>-200</v>
      </c>
      <c r="C1244" s="70">
        <v>1243</v>
      </c>
      <c r="E1244" s="66">
        <v>200</v>
      </c>
      <c r="F1244" s="85">
        <v>45673</v>
      </c>
      <c r="G1244" s="64" t="s">
        <v>707</v>
      </c>
      <c r="H1244"/>
      <c r="I1244"/>
    </row>
    <row r="1245" spans="1:9" x14ac:dyDescent="0.35">
      <c r="A1245" s="71">
        <f t="shared" si="39"/>
        <v>47069.099999999977</v>
      </c>
      <c r="B1245" s="72">
        <f t="shared" si="38"/>
        <v>15425</v>
      </c>
      <c r="C1245" s="70">
        <v>1244</v>
      </c>
      <c r="D1245" s="65">
        <v>15520</v>
      </c>
      <c r="E1245" s="66">
        <v>95</v>
      </c>
      <c r="F1245" s="85">
        <v>45673</v>
      </c>
      <c r="G1245" s="64" t="s">
        <v>708</v>
      </c>
      <c r="H1245"/>
      <c r="I1245"/>
    </row>
    <row r="1246" spans="1:9" x14ac:dyDescent="0.35">
      <c r="A1246" s="71">
        <f t="shared" si="39"/>
        <v>47093.099999999977</v>
      </c>
      <c r="B1246" s="72">
        <f t="shared" si="38"/>
        <v>24</v>
      </c>
      <c r="C1246" s="70">
        <v>1245</v>
      </c>
      <c r="D1246" s="65">
        <v>24</v>
      </c>
      <c r="F1246" s="85">
        <v>45673</v>
      </c>
      <c r="G1246" s="64" t="s">
        <v>709</v>
      </c>
      <c r="H1246"/>
      <c r="I1246"/>
    </row>
    <row r="1247" spans="1:9" x14ac:dyDescent="0.35">
      <c r="A1247" s="71">
        <f t="shared" si="39"/>
        <v>47018.099999999977</v>
      </c>
      <c r="B1247" s="72">
        <f t="shared" si="38"/>
        <v>-75</v>
      </c>
      <c r="C1247" s="70">
        <v>1246</v>
      </c>
      <c r="E1247" s="66">
        <v>75</v>
      </c>
      <c r="F1247" s="85">
        <v>45673</v>
      </c>
      <c r="G1247" s="64" t="s">
        <v>484</v>
      </c>
      <c r="H1247"/>
      <c r="I1247"/>
    </row>
    <row r="1248" spans="1:9" x14ac:dyDescent="0.35">
      <c r="A1248" s="71">
        <f t="shared" si="39"/>
        <v>54703.099999999977</v>
      </c>
      <c r="B1248" s="72">
        <f t="shared" si="38"/>
        <v>7685</v>
      </c>
      <c r="C1248" s="70">
        <v>1247</v>
      </c>
      <c r="D1248" s="65">
        <v>7835</v>
      </c>
      <c r="E1248" s="66">
        <v>150</v>
      </c>
      <c r="F1248" s="85">
        <v>45675</v>
      </c>
      <c r="G1248" s="64" t="s">
        <v>710</v>
      </c>
      <c r="H1248"/>
      <c r="I1248"/>
    </row>
    <row r="1249" spans="1:9" x14ac:dyDescent="0.35">
      <c r="A1249" s="71">
        <f t="shared" si="39"/>
        <v>54403.099999999977</v>
      </c>
      <c r="B1249" s="72">
        <f t="shared" si="38"/>
        <v>-300</v>
      </c>
      <c r="C1249" s="70">
        <v>1248</v>
      </c>
      <c r="E1249" s="66">
        <v>300</v>
      </c>
      <c r="F1249" s="85">
        <v>45675</v>
      </c>
      <c r="G1249" s="64" t="s">
        <v>497</v>
      </c>
      <c r="H1249"/>
      <c r="I1249"/>
    </row>
    <row r="1250" spans="1:9" x14ac:dyDescent="0.35">
      <c r="A1250" s="71">
        <f t="shared" si="39"/>
        <v>54318.099999999977</v>
      </c>
      <c r="B1250" s="72">
        <f t="shared" si="38"/>
        <v>-85</v>
      </c>
      <c r="C1250" s="70">
        <v>1249</v>
      </c>
      <c r="E1250" s="66">
        <v>85</v>
      </c>
      <c r="F1250" s="85">
        <v>45675</v>
      </c>
      <c r="G1250" s="64" t="s">
        <v>656</v>
      </c>
      <c r="H1250"/>
      <c r="I1250"/>
    </row>
    <row r="1251" spans="1:9" x14ac:dyDescent="0.35">
      <c r="A1251" s="71">
        <f t="shared" si="39"/>
        <v>45918.099999999977</v>
      </c>
      <c r="B1251" s="72">
        <f t="shared" si="38"/>
        <v>-8400</v>
      </c>
      <c r="C1251" s="70">
        <v>1250</v>
      </c>
      <c r="E1251" s="66">
        <v>8400</v>
      </c>
      <c r="F1251" s="85">
        <v>45676</v>
      </c>
      <c r="G1251" s="64" t="s">
        <v>711</v>
      </c>
      <c r="H1251"/>
      <c r="I1251"/>
    </row>
    <row r="1252" spans="1:9" x14ac:dyDescent="0.35">
      <c r="A1252" s="71">
        <f t="shared" si="39"/>
        <v>44618.099999999977</v>
      </c>
      <c r="B1252" s="72">
        <f t="shared" si="38"/>
        <v>-1300</v>
      </c>
      <c r="C1252" s="70">
        <v>1251</v>
      </c>
      <c r="E1252" s="66">
        <v>1300</v>
      </c>
      <c r="F1252" s="85">
        <v>45676</v>
      </c>
      <c r="G1252" s="64" t="s">
        <v>719</v>
      </c>
      <c r="H1252"/>
      <c r="I1252"/>
    </row>
    <row r="1253" spans="1:9" x14ac:dyDescent="0.35">
      <c r="A1253" s="71">
        <f t="shared" si="39"/>
        <v>42418.099999999977</v>
      </c>
      <c r="B1253" s="72">
        <f t="shared" si="38"/>
        <v>-2200</v>
      </c>
      <c r="C1253" s="70">
        <v>1252</v>
      </c>
      <c r="E1253" s="66">
        <v>2200</v>
      </c>
      <c r="F1253" s="85">
        <v>45676</v>
      </c>
      <c r="G1253" s="64" t="s">
        <v>713</v>
      </c>
      <c r="H1253"/>
      <c r="I1253"/>
    </row>
    <row r="1254" spans="1:9" x14ac:dyDescent="0.35">
      <c r="A1254" s="71">
        <f t="shared" si="39"/>
        <v>64678.099999999977</v>
      </c>
      <c r="B1254" s="72">
        <f t="shared" si="38"/>
        <v>22260</v>
      </c>
      <c r="C1254" s="70">
        <v>1253</v>
      </c>
      <c r="D1254" s="65">
        <v>22335</v>
      </c>
      <c r="E1254" s="66">
        <v>75</v>
      </c>
      <c r="F1254" s="85">
        <v>45676</v>
      </c>
      <c r="G1254" s="64" t="s">
        <v>715</v>
      </c>
      <c r="H1254"/>
      <c r="I1254"/>
    </row>
    <row r="1255" spans="1:9" x14ac:dyDescent="0.35">
      <c r="A1255" s="71">
        <f t="shared" si="39"/>
        <v>62778.099999999977</v>
      </c>
      <c r="B1255" s="72">
        <f t="shared" si="38"/>
        <v>-1900</v>
      </c>
      <c r="C1255" s="70">
        <v>1254</v>
      </c>
      <c r="E1255" s="66">
        <v>1900</v>
      </c>
      <c r="F1255" s="85">
        <v>45676</v>
      </c>
      <c r="G1255" s="64" t="s">
        <v>714</v>
      </c>
      <c r="H1255"/>
      <c r="I1255"/>
    </row>
    <row r="1256" spans="1:9" x14ac:dyDescent="0.35">
      <c r="A1256" s="71">
        <f t="shared" si="39"/>
        <v>62278.099999999977</v>
      </c>
      <c r="B1256" s="72">
        <f t="shared" si="38"/>
        <v>-500</v>
      </c>
      <c r="C1256" s="70">
        <v>1255</v>
      </c>
      <c r="E1256" s="66">
        <v>500</v>
      </c>
      <c r="F1256" s="85">
        <v>45676</v>
      </c>
      <c r="G1256" s="64" t="s">
        <v>64</v>
      </c>
      <c r="H1256"/>
      <c r="I1256"/>
    </row>
    <row r="1257" spans="1:9" x14ac:dyDescent="0.35">
      <c r="A1257" s="71">
        <f t="shared" si="39"/>
        <v>68368.099999999977</v>
      </c>
      <c r="B1257" s="72">
        <f t="shared" si="38"/>
        <v>6090</v>
      </c>
      <c r="C1257" s="70">
        <v>1256</v>
      </c>
      <c r="D1257" s="65">
        <v>6110</v>
      </c>
      <c r="E1257" s="66">
        <v>20</v>
      </c>
      <c r="F1257" s="85">
        <v>45677</v>
      </c>
      <c r="G1257" s="64" t="s">
        <v>243</v>
      </c>
      <c r="H1257"/>
      <c r="I1257"/>
    </row>
    <row r="1258" spans="1:9" x14ac:dyDescent="0.35">
      <c r="A1258" s="71">
        <f t="shared" si="39"/>
        <v>68293.099999999977</v>
      </c>
      <c r="B1258" s="72">
        <f t="shared" si="38"/>
        <v>-75</v>
      </c>
      <c r="C1258" s="70">
        <v>1257</v>
      </c>
      <c r="E1258" s="66">
        <v>75</v>
      </c>
      <c r="F1258" s="85">
        <v>45677</v>
      </c>
      <c r="G1258" s="64" t="s">
        <v>631</v>
      </c>
      <c r="H1258"/>
      <c r="I1258"/>
    </row>
    <row r="1259" spans="1:9" x14ac:dyDescent="0.35">
      <c r="A1259" s="71">
        <f t="shared" si="39"/>
        <v>68208.099999999977</v>
      </c>
      <c r="B1259" s="72">
        <f t="shared" si="38"/>
        <v>-85</v>
      </c>
      <c r="C1259" s="70">
        <v>1258</v>
      </c>
      <c r="E1259" s="66">
        <v>85</v>
      </c>
      <c r="F1259" s="85">
        <v>45677</v>
      </c>
      <c r="G1259" s="64" t="s">
        <v>661</v>
      </c>
      <c r="H1259"/>
      <c r="I1259"/>
    </row>
    <row r="1260" spans="1:9" x14ac:dyDescent="0.35">
      <c r="A1260" s="71">
        <f t="shared" si="39"/>
        <v>107068.09999999998</v>
      </c>
      <c r="B1260" s="72">
        <f t="shared" si="38"/>
        <v>38860</v>
      </c>
      <c r="C1260" s="70">
        <v>1259</v>
      </c>
      <c r="D1260" s="65">
        <v>39180</v>
      </c>
      <c r="E1260" s="66">
        <v>320</v>
      </c>
      <c r="F1260" s="85">
        <v>45678</v>
      </c>
      <c r="G1260" s="64" t="s">
        <v>75</v>
      </c>
      <c r="H1260"/>
      <c r="I1260"/>
    </row>
    <row r="1261" spans="1:9" x14ac:dyDescent="0.35">
      <c r="A1261" s="71">
        <f t="shared" si="39"/>
        <v>93368.099999999977</v>
      </c>
      <c r="B1261" s="72">
        <f t="shared" si="38"/>
        <v>-13700</v>
      </c>
      <c r="C1261" s="70">
        <v>1260</v>
      </c>
      <c r="E1261" s="66">
        <v>13700</v>
      </c>
      <c r="F1261" s="85">
        <v>45679</v>
      </c>
      <c r="G1261" s="64" t="s">
        <v>565</v>
      </c>
      <c r="H1261"/>
      <c r="I1261"/>
    </row>
    <row r="1262" spans="1:9" x14ac:dyDescent="0.35">
      <c r="A1262" s="71">
        <f t="shared" si="39"/>
        <v>93118.099999999977</v>
      </c>
      <c r="B1262" s="72">
        <f t="shared" si="38"/>
        <v>-250</v>
      </c>
      <c r="C1262" s="70">
        <v>1261</v>
      </c>
      <c r="E1262" s="66">
        <v>250</v>
      </c>
      <c r="F1262" s="85">
        <v>45679</v>
      </c>
      <c r="G1262" s="64" t="s">
        <v>716</v>
      </c>
      <c r="H1262"/>
      <c r="I1262"/>
    </row>
    <row r="1263" spans="1:9" x14ac:dyDescent="0.35">
      <c r="A1263" s="71">
        <f t="shared" si="39"/>
        <v>93148.099999999977</v>
      </c>
      <c r="B1263" s="72">
        <f t="shared" si="38"/>
        <v>30</v>
      </c>
      <c r="C1263" s="70">
        <v>1262</v>
      </c>
      <c r="D1263" s="65">
        <v>30</v>
      </c>
      <c r="F1263" s="85">
        <v>45679</v>
      </c>
      <c r="G1263" s="64" t="s">
        <v>642</v>
      </c>
      <c r="H1263"/>
      <c r="I1263"/>
    </row>
    <row r="1264" spans="1:9" x14ac:dyDescent="0.35">
      <c r="A1264" s="71">
        <f t="shared" si="39"/>
        <v>123193.09999999998</v>
      </c>
      <c r="B1264" s="72">
        <f t="shared" si="38"/>
        <v>30045</v>
      </c>
      <c r="C1264" s="70">
        <v>1263</v>
      </c>
      <c r="D1264" s="65">
        <v>30135</v>
      </c>
      <c r="E1264" s="66">
        <v>90</v>
      </c>
      <c r="F1264" s="85">
        <v>45679</v>
      </c>
      <c r="G1264" s="64" t="s">
        <v>250</v>
      </c>
      <c r="H1264"/>
      <c r="I1264"/>
    </row>
    <row r="1265" spans="1:9" x14ac:dyDescent="0.35">
      <c r="A1265" s="71">
        <f t="shared" si="39"/>
        <v>123193.09999999998</v>
      </c>
      <c r="B1265" s="72">
        <f t="shared" si="38"/>
        <v>0</v>
      </c>
      <c r="C1265" s="70">
        <v>1264</v>
      </c>
      <c r="D1265" s="65">
        <v>1950</v>
      </c>
      <c r="E1265" s="66">
        <v>1950</v>
      </c>
      <c r="F1265" s="85">
        <v>45680</v>
      </c>
      <c r="H1265"/>
      <c r="I1265"/>
    </row>
    <row r="1266" spans="1:9" x14ac:dyDescent="0.35">
      <c r="A1266" s="71">
        <f t="shared" si="39"/>
        <v>126743.09999999998</v>
      </c>
      <c r="B1266" s="72">
        <f t="shared" si="38"/>
        <v>3550</v>
      </c>
      <c r="C1266" s="70">
        <v>1265</v>
      </c>
      <c r="D1266" s="65">
        <v>3650</v>
      </c>
      <c r="E1266" s="66">
        <v>100</v>
      </c>
      <c r="F1266" s="85">
        <v>45680</v>
      </c>
      <c r="G1266" s="64" t="s">
        <v>486</v>
      </c>
      <c r="H1266"/>
      <c r="I1266"/>
    </row>
    <row r="1267" spans="1:9" x14ac:dyDescent="0.35">
      <c r="A1267" s="71">
        <f t="shared" si="39"/>
        <v>124818.09999999998</v>
      </c>
      <c r="B1267" s="72">
        <f t="shared" si="38"/>
        <v>-1925</v>
      </c>
      <c r="C1267" s="70">
        <v>1266</v>
      </c>
      <c r="E1267" s="66">
        <v>1925</v>
      </c>
      <c r="F1267" s="85">
        <v>45680</v>
      </c>
      <c r="G1267" s="64" t="s">
        <v>720</v>
      </c>
      <c r="H1267"/>
      <c r="I1267"/>
    </row>
    <row r="1268" spans="1:9" x14ac:dyDescent="0.35">
      <c r="A1268" s="71">
        <f t="shared" si="39"/>
        <v>122938.09999999998</v>
      </c>
      <c r="B1268" s="72">
        <f t="shared" si="38"/>
        <v>-1880</v>
      </c>
      <c r="C1268" s="70">
        <v>1267</v>
      </c>
      <c r="E1268" s="66">
        <v>1880</v>
      </c>
      <c r="F1268" s="85">
        <v>45680</v>
      </c>
      <c r="G1268" s="64" t="s">
        <v>717</v>
      </c>
      <c r="H1268"/>
      <c r="I1268"/>
    </row>
    <row r="1269" spans="1:9" x14ac:dyDescent="0.35">
      <c r="A1269" s="71">
        <f t="shared" si="39"/>
        <v>133438.09999999998</v>
      </c>
      <c r="B1269" s="72">
        <f t="shared" si="38"/>
        <v>10500</v>
      </c>
      <c r="C1269" s="70">
        <v>1268</v>
      </c>
      <c r="D1269" s="65">
        <v>11200</v>
      </c>
      <c r="E1269" s="66">
        <v>700</v>
      </c>
      <c r="F1269" s="85">
        <v>45682</v>
      </c>
      <c r="G1269" s="64" t="s">
        <v>555</v>
      </c>
      <c r="H1269"/>
      <c r="I1269"/>
    </row>
    <row r="1270" spans="1:9" x14ac:dyDescent="0.35">
      <c r="A1270" s="71">
        <f t="shared" si="39"/>
        <v>133423.09999999998</v>
      </c>
      <c r="B1270" s="72">
        <f t="shared" si="38"/>
        <v>-15</v>
      </c>
      <c r="C1270" s="70">
        <v>1269</v>
      </c>
      <c r="E1270" s="66">
        <v>15</v>
      </c>
      <c r="F1270" s="85">
        <v>45682</v>
      </c>
      <c r="G1270" s="64" t="s">
        <v>718</v>
      </c>
      <c r="H1270"/>
      <c r="I1270"/>
    </row>
    <row r="1271" spans="1:9" x14ac:dyDescent="0.35">
      <c r="A1271" s="71">
        <f t="shared" si="39"/>
        <v>133348.09999999998</v>
      </c>
      <c r="B1271" s="72">
        <f t="shared" si="38"/>
        <v>-75</v>
      </c>
      <c r="C1271" s="70">
        <v>1270</v>
      </c>
      <c r="E1271" s="66">
        <v>75</v>
      </c>
      <c r="F1271" s="85">
        <v>45682</v>
      </c>
      <c r="G1271" s="64" t="s">
        <v>499</v>
      </c>
      <c r="H1271"/>
      <c r="I1271"/>
    </row>
    <row r="1272" spans="1:9" x14ac:dyDescent="0.35">
      <c r="A1272" s="71">
        <f t="shared" si="39"/>
        <v>133263.09999999998</v>
      </c>
      <c r="B1272" s="72">
        <f t="shared" si="38"/>
        <v>-85</v>
      </c>
      <c r="C1272" s="70">
        <v>1271</v>
      </c>
      <c r="E1272" s="66">
        <v>85</v>
      </c>
      <c r="F1272" s="85">
        <v>45682</v>
      </c>
      <c r="G1272" s="64" t="s">
        <v>667</v>
      </c>
      <c r="H1272"/>
      <c r="I1272"/>
    </row>
    <row r="1273" spans="1:9" x14ac:dyDescent="0.35">
      <c r="A1273" s="71">
        <f t="shared" si="39"/>
        <v>133313.09999999998</v>
      </c>
      <c r="B1273" s="72">
        <f t="shared" si="38"/>
        <v>50</v>
      </c>
      <c r="C1273" s="70">
        <v>1272</v>
      </c>
      <c r="D1273" s="65">
        <v>50</v>
      </c>
      <c r="F1273" s="85">
        <v>45683</v>
      </c>
      <c r="G1273" s="64" t="s">
        <v>721</v>
      </c>
      <c r="H1273"/>
      <c r="I1273"/>
    </row>
    <row r="1274" spans="1:9" x14ac:dyDescent="0.35">
      <c r="A1274" s="71">
        <f t="shared" si="39"/>
        <v>167273.09999999998</v>
      </c>
      <c r="B1274" s="72">
        <f t="shared" si="38"/>
        <v>33960</v>
      </c>
      <c r="C1274" s="70">
        <v>1273</v>
      </c>
      <c r="D1274" s="65">
        <v>34280</v>
      </c>
      <c r="E1274" s="66">
        <v>320</v>
      </c>
      <c r="F1274" s="85">
        <v>45683</v>
      </c>
      <c r="G1274" s="64" t="s">
        <v>75</v>
      </c>
      <c r="H1274"/>
      <c r="I1274"/>
    </row>
    <row r="1275" spans="1:9" x14ac:dyDescent="0.35">
      <c r="A1275" s="71">
        <f t="shared" si="39"/>
        <v>165673.09999999998</v>
      </c>
      <c r="B1275" s="72">
        <f t="shared" si="38"/>
        <v>-1600</v>
      </c>
      <c r="C1275" s="70">
        <v>1274</v>
      </c>
      <c r="E1275" s="66">
        <v>1600</v>
      </c>
      <c r="F1275" s="85">
        <v>45683</v>
      </c>
      <c r="G1275" s="64" t="s">
        <v>722</v>
      </c>
      <c r="H1275"/>
      <c r="I1275"/>
    </row>
    <row r="1276" spans="1:9" x14ac:dyDescent="0.35">
      <c r="A1276" s="71">
        <f t="shared" si="39"/>
        <v>165618.09999999998</v>
      </c>
      <c r="B1276" s="72">
        <f t="shared" si="38"/>
        <v>-55</v>
      </c>
      <c r="C1276" s="70">
        <v>1275</v>
      </c>
      <c r="E1276" s="66">
        <v>55</v>
      </c>
      <c r="F1276" s="85">
        <v>45683</v>
      </c>
      <c r="G1276" s="64" t="s">
        <v>36</v>
      </c>
      <c r="H1276"/>
      <c r="I1276"/>
    </row>
    <row r="1277" spans="1:9" x14ac:dyDescent="0.35">
      <c r="A1277" s="71">
        <f t="shared" si="39"/>
        <v>165448.09999999998</v>
      </c>
      <c r="B1277" s="72">
        <f t="shared" si="38"/>
        <v>-170</v>
      </c>
      <c r="C1277" s="70">
        <v>1276</v>
      </c>
      <c r="E1277" s="66">
        <v>170</v>
      </c>
      <c r="F1277" s="85">
        <v>45683</v>
      </c>
      <c r="G1277" s="64" t="s">
        <v>723</v>
      </c>
      <c r="H1277"/>
      <c r="I1277"/>
    </row>
    <row r="1278" spans="1:9" x14ac:dyDescent="0.35">
      <c r="A1278" s="71">
        <f t="shared" si="39"/>
        <v>165320.09999999998</v>
      </c>
      <c r="B1278" s="72">
        <f t="shared" si="38"/>
        <v>-128</v>
      </c>
      <c r="C1278" s="70">
        <v>1277</v>
      </c>
      <c r="E1278" s="66">
        <v>128</v>
      </c>
      <c r="F1278" s="85">
        <v>45683</v>
      </c>
      <c r="G1278" s="64" t="s">
        <v>65</v>
      </c>
      <c r="H1278"/>
      <c r="I1278"/>
    </row>
    <row r="1279" spans="1:9" x14ac:dyDescent="0.35">
      <c r="A1279" s="71">
        <f t="shared" si="39"/>
        <v>164495.09999999998</v>
      </c>
      <c r="B1279" s="72">
        <f t="shared" si="38"/>
        <v>-825</v>
      </c>
      <c r="C1279" s="70">
        <v>1278</v>
      </c>
      <c r="E1279" s="66">
        <v>825</v>
      </c>
      <c r="F1279" s="85">
        <v>45684</v>
      </c>
      <c r="G1279" s="64" t="s">
        <v>724</v>
      </c>
      <c r="H1279"/>
      <c r="I1279"/>
    </row>
    <row r="1280" spans="1:9" x14ac:dyDescent="0.35">
      <c r="A1280" s="71">
        <f t="shared" si="39"/>
        <v>168425.09999999998</v>
      </c>
      <c r="B1280" s="72">
        <f t="shared" si="38"/>
        <v>3930</v>
      </c>
      <c r="C1280" s="70">
        <v>1279</v>
      </c>
      <c r="D1280" s="65">
        <v>4005</v>
      </c>
      <c r="E1280" s="66">
        <v>75</v>
      </c>
      <c r="F1280" s="85">
        <v>45684</v>
      </c>
      <c r="G1280" s="64" t="s">
        <v>500</v>
      </c>
      <c r="H1280"/>
      <c r="I1280"/>
    </row>
    <row r="1281" spans="1:9" x14ac:dyDescent="0.35">
      <c r="A1281" s="71">
        <f t="shared" si="39"/>
        <v>168385.09999999998</v>
      </c>
      <c r="B1281" s="72">
        <f t="shared" si="38"/>
        <v>-40</v>
      </c>
      <c r="C1281" s="70">
        <v>1280</v>
      </c>
      <c r="E1281" s="66">
        <v>40</v>
      </c>
      <c r="F1281" s="85">
        <v>45684</v>
      </c>
      <c r="G1281" s="64" t="s">
        <v>725</v>
      </c>
      <c r="H1281"/>
      <c r="I1281"/>
    </row>
    <row r="1282" spans="1:9" x14ac:dyDescent="0.35">
      <c r="A1282" s="71">
        <f t="shared" si="39"/>
        <v>234180.09999999998</v>
      </c>
      <c r="B1282" s="72">
        <f t="shared" si="38"/>
        <v>65795</v>
      </c>
      <c r="C1282" s="70">
        <v>1281</v>
      </c>
      <c r="D1282" s="65">
        <v>68795</v>
      </c>
      <c r="E1282" s="66">
        <v>3000</v>
      </c>
      <c r="F1282" s="85">
        <v>45685</v>
      </c>
      <c r="G1282" s="64" t="s">
        <v>728</v>
      </c>
      <c r="H1282"/>
      <c r="I1282"/>
    </row>
    <row r="1283" spans="1:9" x14ac:dyDescent="0.35">
      <c r="A1283" s="71">
        <f t="shared" si="39"/>
        <v>233730.09999999998</v>
      </c>
      <c r="B1283" s="72">
        <f t="shared" ref="B1283:B1346" si="40">SUM(D1283-E1283)</f>
        <v>-450</v>
      </c>
      <c r="C1283" s="70">
        <v>1282</v>
      </c>
      <c r="E1283" s="66">
        <v>450</v>
      </c>
      <c r="F1283" s="85">
        <v>45685</v>
      </c>
      <c r="G1283" s="64" t="s">
        <v>729</v>
      </c>
      <c r="H1283"/>
      <c r="I1283"/>
    </row>
    <row r="1284" spans="1:9" x14ac:dyDescent="0.35">
      <c r="A1284" s="71">
        <f t="shared" ref="A1284:A1347" si="41">SUM(A1283+B1284)</f>
        <v>233580.09999999998</v>
      </c>
      <c r="B1284" s="72">
        <f t="shared" si="40"/>
        <v>-150</v>
      </c>
      <c r="C1284" s="70">
        <v>1283</v>
      </c>
      <c r="E1284" s="66">
        <v>150</v>
      </c>
      <c r="F1284" s="85">
        <v>45685</v>
      </c>
      <c r="G1284" s="64" t="s">
        <v>727</v>
      </c>
      <c r="H1284"/>
      <c r="I1284"/>
    </row>
    <row r="1285" spans="1:9" x14ac:dyDescent="0.35">
      <c r="A1285" s="71">
        <f t="shared" si="41"/>
        <v>233505.09999999998</v>
      </c>
      <c r="B1285" s="72">
        <f t="shared" si="40"/>
        <v>-75</v>
      </c>
      <c r="C1285" s="70">
        <v>1284</v>
      </c>
      <c r="E1285" s="66">
        <v>75</v>
      </c>
      <c r="F1285" s="85">
        <v>45685</v>
      </c>
      <c r="G1285" s="64" t="s">
        <v>726</v>
      </c>
      <c r="H1285"/>
      <c r="I1285"/>
    </row>
    <row r="1286" spans="1:9" x14ac:dyDescent="0.35">
      <c r="A1286" s="71">
        <f t="shared" si="41"/>
        <v>231405.09999999998</v>
      </c>
      <c r="B1286" s="72">
        <f t="shared" si="40"/>
        <v>-2100</v>
      </c>
      <c r="C1286" s="70">
        <v>1285</v>
      </c>
      <c r="E1286" s="66">
        <v>2100</v>
      </c>
      <c r="F1286" s="85">
        <v>45686</v>
      </c>
      <c r="G1286" s="64" t="s">
        <v>541</v>
      </c>
      <c r="H1286"/>
      <c r="I1286"/>
    </row>
    <row r="1287" spans="1:9" x14ac:dyDescent="0.35">
      <c r="A1287" s="71">
        <f t="shared" si="41"/>
        <v>260815.09999999998</v>
      </c>
      <c r="B1287" s="72">
        <f t="shared" si="40"/>
        <v>29410</v>
      </c>
      <c r="C1287" s="70">
        <v>1286</v>
      </c>
      <c r="D1287" s="65">
        <v>29610</v>
      </c>
      <c r="E1287" s="66">
        <v>200</v>
      </c>
      <c r="F1287" s="85">
        <v>45686</v>
      </c>
      <c r="G1287" s="64" t="s">
        <v>64</v>
      </c>
      <c r="H1287"/>
      <c r="I1287"/>
    </row>
    <row r="1288" spans="1:9" x14ac:dyDescent="0.35">
      <c r="A1288" s="71">
        <f t="shared" si="41"/>
        <v>258815.09999999998</v>
      </c>
      <c r="B1288" s="72">
        <f t="shared" si="40"/>
        <v>-2000</v>
      </c>
      <c r="C1288" s="70">
        <v>1287</v>
      </c>
      <c r="E1288" s="66">
        <v>2000</v>
      </c>
      <c r="F1288" s="85">
        <v>45686</v>
      </c>
      <c r="G1288" s="64" t="s">
        <v>606</v>
      </c>
      <c r="H1288"/>
      <c r="I1288"/>
    </row>
    <row r="1289" spans="1:9" x14ac:dyDescent="0.35">
      <c r="A1289" s="71">
        <f t="shared" si="41"/>
        <v>257275.09999999998</v>
      </c>
      <c r="B1289" s="72">
        <f t="shared" si="40"/>
        <v>-1540</v>
      </c>
      <c r="C1289" s="70">
        <v>1288</v>
      </c>
      <c r="E1289" s="66">
        <v>1540</v>
      </c>
      <c r="F1289" s="85">
        <v>45687</v>
      </c>
      <c r="G1289" s="64" t="s">
        <v>731</v>
      </c>
      <c r="H1289"/>
      <c r="I1289"/>
    </row>
    <row r="1290" spans="1:9" x14ac:dyDescent="0.35">
      <c r="A1290" s="71">
        <f t="shared" si="41"/>
        <v>257195.09999999998</v>
      </c>
      <c r="B1290" s="72">
        <f t="shared" si="40"/>
        <v>-80</v>
      </c>
      <c r="C1290" s="70">
        <v>1289</v>
      </c>
      <c r="E1290" s="66">
        <v>80</v>
      </c>
      <c r="F1290" s="85">
        <v>45687</v>
      </c>
      <c r="G1290" s="64" t="s">
        <v>730</v>
      </c>
      <c r="H1290"/>
      <c r="I1290"/>
    </row>
    <row r="1291" spans="1:9" x14ac:dyDescent="0.35">
      <c r="A1291" s="71">
        <f t="shared" si="41"/>
        <v>258815.09999999998</v>
      </c>
      <c r="B1291" s="72">
        <f t="shared" si="40"/>
        <v>1620</v>
      </c>
      <c r="C1291" s="70">
        <v>1290</v>
      </c>
      <c r="D1291" s="65">
        <v>1620</v>
      </c>
      <c r="F1291" s="85">
        <v>45687</v>
      </c>
      <c r="G1291" s="64" t="s">
        <v>12</v>
      </c>
      <c r="H1291"/>
      <c r="I1291"/>
    </row>
    <row r="1292" spans="1:9" x14ac:dyDescent="0.35">
      <c r="A1292" s="71">
        <f t="shared" si="41"/>
        <v>191063.09999999998</v>
      </c>
      <c r="B1292" s="72">
        <f t="shared" si="40"/>
        <v>-67752</v>
      </c>
      <c r="C1292" s="70">
        <v>1291</v>
      </c>
      <c r="E1292" s="66">
        <v>67752</v>
      </c>
      <c r="F1292" s="85">
        <v>45689</v>
      </c>
      <c r="G1292" s="64" t="s">
        <v>298</v>
      </c>
      <c r="H1292"/>
      <c r="I1292"/>
    </row>
    <row r="1293" spans="1:9" x14ac:dyDescent="0.35">
      <c r="A1293" s="71">
        <f t="shared" si="41"/>
        <v>176063.09999999998</v>
      </c>
      <c r="B1293" s="72">
        <f t="shared" si="40"/>
        <v>-15000</v>
      </c>
      <c r="C1293" s="70">
        <v>1292</v>
      </c>
      <c r="E1293" s="66">
        <v>15000</v>
      </c>
      <c r="F1293" s="85">
        <v>45689</v>
      </c>
      <c r="G1293" s="64" t="s">
        <v>146</v>
      </c>
      <c r="H1293"/>
      <c r="I1293"/>
    </row>
    <row r="1294" spans="1:9" x14ac:dyDescent="0.35">
      <c r="A1294" s="71">
        <f t="shared" si="41"/>
        <v>158463.09999999998</v>
      </c>
      <c r="B1294" s="72">
        <f t="shared" si="40"/>
        <v>-17600</v>
      </c>
      <c r="C1294" s="70">
        <v>1293</v>
      </c>
      <c r="E1294" s="66">
        <v>17600</v>
      </c>
      <c r="F1294" s="85">
        <v>45689</v>
      </c>
      <c r="G1294" s="64" t="s">
        <v>732</v>
      </c>
      <c r="H1294"/>
      <c r="I1294"/>
    </row>
    <row r="1295" spans="1:9" x14ac:dyDescent="0.35">
      <c r="A1295" s="71">
        <f t="shared" si="41"/>
        <v>165903.09999999998</v>
      </c>
      <c r="B1295" s="72">
        <f t="shared" si="40"/>
        <v>7440</v>
      </c>
      <c r="C1295" s="70">
        <v>1294</v>
      </c>
      <c r="D1295" s="65">
        <v>7740</v>
      </c>
      <c r="E1295" s="66">
        <v>300</v>
      </c>
      <c r="F1295" s="85">
        <v>45689</v>
      </c>
      <c r="G1295" s="64" t="s">
        <v>737</v>
      </c>
      <c r="H1295"/>
      <c r="I1295"/>
    </row>
    <row r="1296" spans="1:9" x14ac:dyDescent="0.35">
      <c r="A1296" s="71">
        <f t="shared" si="41"/>
        <v>165723.09999999998</v>
      </c>
      <c r="B1296" s="72">
        <f t="shared" si="40"/>
        <v>-180</v>
      </c>
      <c r="C1296" s="70">
        <v>1295</v>
      </c>
      <c r="E1296" s="66">
        <v>180</v>
      </c>
      <c r="F1296" s="85">
        <v>45689</v>
      </c>
      <c r="G1296" s="64" t="s">
        <v>733</v>
      </c>
      <c r="H1296"/>
      <c r="I1296"/>
    </row>
    <row r="1297" spans="1:9" x14ac:dyDescent="0.35">
      <c r="A1297" s="71">
        <f t="shared" si="41"/>
        <v>165673.09999999998</v>
      </c>
      <c r="B1297" s="72">
        <f t="shared" si="40"/>
        <v>-50</v>
      </c>
      <c r="C1297" s="70">
        <v>1296</v>
      </c>
      <c r="E1297" s="66">
        <v>50</v>
      </c>
      <c r="F1297" s="85">
        <v>45689</v>
      </c>
      <c r="G1297" s="64" t="s">
        <v>612</v>
      </c>
      <c r="H1297"/>
      <c r="I1297"/>
    </row>
    <row r="1298" spans="1:9" x14ac:dyDescent="0.35">
      <c r="A1298" s="71">
        <f t="shared" si="41"/>
        <v>164673.09999999998</v>
      </c>
      <c r="B1298" s="72">
        <f t="shared" si="40"/>
        <v>-1000</v>
      </c>
      <c r="C1298" s="70">
        <v>1297</v>
      </c>
      <c r="E1298" s="66">
        <v>1000</v>
      </c>
      <c r="F1298" s="85">
        <v>45689</v>
      </c>
      <c r="G1298" s="64" t="s">
        <v>734</v>
      </c>
      <c r="H1298"/>
      <c r="I1298"/>
    </row>
    <row r="1299" spans="1:9" x14ac:dyDescent="0.35">
      <c r="A1299" s="71">
        <f t="shared" si="41"/>
        <v>163673.09999999998</v>
      </c>
      <c r="B1299" s="72">
        <f t="shared" si="40"/>
        <v>-1000</v>
      </c>
      <c r="C1299" s="70">
        <v>1298</v>
      </c>
      <c r="E1299" s="66">
        <v>1000</v>
      </c>
      <c r="F1299" s="85">
        <v>45689</v>
      </c>
      <c r="G1299" s="64" t="s">
        <v>222</v>
      </c>
      <c r="H1299"/>
      <c r="I1299"/>
    </row>
    <row r="1300" spans="1:9" x14ac:dyDescent="0.35">
      <c r="A1300" s="71">
        <f t="shared" si="41"/>
        <v>162673.09999999998</v>
      </c>
      <c r="B1300" s="72">
        <f t="shared" si="40"/>
        <v>-1000</v>
      </c>
      <c r="C1300" s="70">
        <v>1299</v>
      </c>
      <c r="E1300" s="66">
        <v>1000</v>
      </c>
      <c r="F1300" s="85">
        <v>45689</v>
      </c>
      <c r="G1300" s="64" t="s">
        <v>736</v>
      </c>
      <c r="H1300"/>
      <c r="I1300"/>
    </row>
    <row r="1301" spans="1:9" x14ac:dyDescent="0.35">
      <c r="A1301" s="71">
        <f t="shared" si="41"/>
        <v>136073.09999999998</v>
      </c>
      <c r="B1301" s="72">
        <f t="shared" si="40"/>
        <v>-26600</v>
      </c>
      <c r="C1301" s="70">
        <v>1300</v>
      </c>
      <c r="E1301" s="66">
        <v>26600</v>
      </c>
      <c r="F1301" s="85">
        <v>45690</v>
      </c>
      <c r="G1301" s="64" t="s">
        <v>15</v>
      </c>
      <c r="H1301"/>
      <c r="I1301"/>
    </row>
    <row r="1302" spans="1:9" x14ac:dyDescent="0.35">
      <c r="A1302" s="71">
        <f t="shared" si="41"/>
        <v>160243.09999999998</v>
      </c>
      <c r="B1302" s="72">
        <f t="shared" si="40"/>
        <v>24170</v>
      </c>
      <c r="C1302" s="70">
        <v>1301</v>
      </c>
      <c r="D1302" s="65">
        <v>24255</v>
      </c>
      <c r="E1302" s="66">
        <v>85</v>
      </c>
      <c r="F1302" s="85">
        <v>45690</v>
      </c>
      <c r="G1302" s="64" t="s">
        <v>735</v>
      </c>
      <c r="H1302"/>
      <c r="I1302"/>
    </row>
    <row r="1303" spans="1:9" x14ac:dyDescent="0.35">
      <c r="A1303" s="71">
        <f t="shared" si="41"/>
        <v>160168.09999999998</v>
      </c>
      <c r="B1303" s="72">
        <f t="shared" si="40"/>
        <v>-75</v>
      </c>
      <c r="C1303" s="70">
        <v>1302</v>
      </c>
      <c r="E1303" s="66">
        <v>75</v>
      </c>
      <c r="F1303" s="85">
        <v>45690</v>
      </c>
      <c r="G1303" s="64" t="s">
        <v>452</v>
      </c>
      <c r="H1303"/>
      <c r="I1303"/>
    </row>
    <row r="1304" spans="1:9" x14ac:dyDescent="0.35">
      <c r="A1304" s="71">
        <f t="shared" si="41"/>
        <v>159908.09999999998</v>
      </c>
      <c r="B1304" s="72">
        <f t="shared" si="40"/>
        <v>-260</v>
      </c>
      <c r="C1304" s="70">
        <v>1303</v>
      </c>
      <c r="E1304" s="66">
        <v>260</v>
      </c>
      <c r="F1304" s="85">
        <v>45690</v>
      </c>
      <c r="G1304" s="64" t="s">
        <v>141</v>
      </c>
      <c r="H1304"/>
      <c r="I1304"/>
    </row>
    <row r="1305" spans="1:9" x14ac:dyDescent="0.35">
      <c r="A1305" s="71">
        <f t="shared" si="41"/>
        <v>159708.09999999998</v>
      </c>
      <c r="B1305" s="72">
        <f t="shared" si="40"/>
        <v>-200</v>
      </c>
      <c r="C1305" s="70">
        <v>1304</v>
      </c>
      <c r="E1305" s="66">
        <v>200</v>
      </c>
      <c r="F1305" s="85">
        <v>45690</v>
      </c>
      <c r="G1305" s="64" t="s">
        <v>738</v>
      </c>
      <c r="H1305"/>
      <c r="I1305"/>
    </row>
    <row r="1306" spans="1:9" x14ac:dyDescent="0.35">
      <c r="A1306" s="71">
        <f t="shared" si="41"/>
        <v>157333.09999999998</v>
      </c>
      <c r="B1306" s="72">
        <f t="shared" si="40"/>
        <v>-2375</v>
      </c>
      <c r="C1306" s="70">
        <v>1305</v>
      </c>
      <c r="E1306" s="66">
        <v>2375</v>
      </c>
      <c r="F1306" s="85">
        <v>45690</v>
      </c>
      <c r="G1306" s="64" t="s">
        <v>739</v>
      </c>
      <c r="H1306"/>
      <c r="I1306"/>
    </row>
    <row r="1307" spans="1:9" x14ac:dyDescent="0.35">
      <c r="A1307" s="71">
        <f t="shared" si="41"/>
        <v>157013.09999999998</v>
      </c>
      <c r="B1307" s="72">
        <f t="shared" si="40"/>
        <v>-320</v>
      </c>
      <c r="C1307" s="70">
        <v>1306</v>
      </c>
      <c r="E1307" s="66">
        <v>320</v>
      </c>
      <c r="F1307" s="85">
        <v>45690</v>
      </c>
      <c r="G1307" s="64" t="s">
        <v>75</v>
      </c>
      <c r="H1307"/>
      <c r="I1307"/>
    </row>
    <row r="1308" spans="1:9" x14ac:dyDescent="0.35">
      <c r="A1308" s="71">
        <f t="shared" si="41"/>
        <v>158738.09999999998</v>
      </c>
      <c r="B1308" s="72">
        <f t="shared" si="40"/>
        <v>1725</v>
      </c>
      <c r="C1308" s="70">
        <v>1307</v>
      </c>
      <c r="D1308" s="65">
        <v>1725</v>
      </c>
      <c r="F1308" s="85">
        <v>45691</v>
      </c>
      <c r="G1308" s="64" t="s">
        <v>740</v>
      </c>
      <c r="H1308"/>
      <c r="I1308"/>
    </row>
    <row r="1309" spans="1:9" x14ac:dyDescent="0.35">
      <c r="A1309" s="71">
        <f t="shared" si="41"/>
        <v>161593.09999999998</v>
      </c>
      <c r="B1309" s="72">
        <f t="shared" si="40"/>
        <v>2855</v>
      </c>
      <c r="C1309" s="70">
        <v>1308</v>
      </c>
      <c r="D1309" s="65">
        <v>3110</v>
      </c>
      <c r="E1309" s="66">
        <v>255</v>
      </c>
      <c r="F1309" s="85">
        <v>45691</v>
      </c>
      <c r="G1309" s="64" t="s">
        <v>400</v>
      </c>
      <c r="H1309"/>
      <c r="I1309"/>
    </row>
    <row r="1310" spans="1:9" x14ac:dyDescent="0.35">
      <c r="A1310" s="71">
        <f t="shared" si="41"/>
        <v>161518.09999999998</v>
      </c>
      <c r="B1310" s="72">
        <f t="shared" si="40"/>
        <v>-75</v>
      </c>
      <c r="C1310" s="70">
        <v>1309</v>
      </c>
      <c r="E1310" s="66">
        <v>75</v>
      </c>
      <c r="F1310" s="85">
        <v>45691</v>
      </c>
      <c r="G1310" s="64" t="s">
        <v>554</v>
      </c>
      <c r="H1310"/>
      <c r="I1310"/>
    </row>
    <row r="1311" spans="1:9" x14ac:dyDescent="0.35">
      <c r="A1311" s="71">
        <f t="shared" si="41"/>
        <v>160878.09999999998</v>
      </c>
      <c r="B1311" s="72">
        <f t="shared" si="40"/>
        <v>-640</v>
      </c>
      <c r="C1311" s="70">
        <v>1310</v>
      </c>
      <c r="E1311" s="66">
        <v>640</v>
      </c>
      <c r="F1311" s="85">
        <v>45691</v>
      </c>
      <c r="G1311" s="64" t="s">
        <v>75</v>
      </c>
      <c r="H1311"/>
      <c r="I1311"/>
    </row>
    <row r="1312" spans="1:9" x14ac:dyDescent="0.35">
      <c r="A1312" s="71">
        <f t="shared" si="41"/>
        <v>160858.09999999998</v>
      </c>
      <c r="B1312" s="72">
        <f t="shared" si="40"/>
        <v>-20</v>
      </c>
      <c r="C1312" s="70">
        <v>1311</v>
      </c>
      <c r="E1312" s="66">
        <v>20</v>
      </c>
      <c r="F1312" s="85">
        <v>45691</v>
      </c>
      <c r="G1312" s="64" t="s">
        <v>741</v>
      </c>
      <c r="H1312"/>
      <c r="I1312"/>
    </row>
    <row r="1313" spans="1:9" x14ac:dyDescent="0.35">
      <c r="A1313" s="71">
        <f t="shared" si="41"/>
        <v>160297.09999999998</v>
      </c>
      <c r="B1313" s="72">
        <f t="shared" si="40"/>
        <v>-561</v>
      </c>
      <c r="C1313" s="70">
        <v>1312</v>
      </c>
      <c r="E1313" s="66">
        <v>561</v>
      </c>
      <c r="F1313" s="85">
        <v>45691</v>
      </c>
      <c r="G1313" s="64" t="s">
        <v>48</v>
      </c>
      <c r="H1313"/>
      <c r="I1313"/>
    </row>
    <row r="1314" spans="1:9" x14ac:dyDescent="0.35">
      <c r="A1314" s="71">
        <f t="shared" si="41"/>
        <v>120297.09999999998</v>
      </c>
      <c r="B1314" s="72">
        <f t="shared" si="40"/>
        <v>-40000</v>
      </c>
      <c r="C1314" s="70">
        <v>1313</v>
      </c>
      <c r="E1314" s="66">
        <v>40000</v>
      </c>
      <c r="F1314" s="85">
        <v>45692</v>
      </c>
      <c r="G1314" s="64" t="s">
        <v>742</v>
      </c>
      <c r="H1314"/>
      <c r="I1314"/>
    </row>
    <row r="1315" spans="1:9" x14ac:dyDescent="0.35">
      <c r="A1315" s="71">
        <f t="shared" si="41"/>
        <v>148252.09999999998</v>
      </c>
      <c r="B1315" s="72">
        <f t="shared" si="40"/>
        <v>27955</v>
      </c>
      <c r="C1315" s="70">
        <v>1314</v>
      </c>
      <c r="D1315" s="65">
        <v>47205</v>
      </c>
      <c r="E1315" s="66">
        <v>19250</v>
      </c>
      <c r="F1315" s="85">
        <v>45692</v>
      </c>
      <c r="G1315" s="64" t="s">
        <v>17</v>
      </c>
      <c r="H1315"/>
      <c r="I1315"/>
    </row>
    <row r="1316" spans="1:9" x14ac:dyDescent="0.35">
      <c r="A1316" s="71">
        <f t="shared" si="41"/>
        <v>147642.09999999998</v>
      </c>
      <c r="B1316" s="72">
        <f t="shared" si="40"/>
        <v>-610</v>
      </c>
      <c r="C1316" s="70">
        <v>1315</v>
      </c>
      <c r="E1316" s="66">
        <v>610</v>
      </c>
      <c r="F1316" s="85">
        <v>45692</v>
      </c>
      <c r="G1316" s="64" t="s">
        <v>743</v>
      </c>
      <c r="H1316"/>
      <c r="I1316"/>
    </row>
    <row r="1317" spans="1:9" x14ac:dyDescent="0.35">
      <c r="A1317" s="71">
        <f t="shared" si="41"/>
        <v>142642.09999999998</v>
      </c>
      <c r="B1317" s="72">
        <f t="shared" si="40"/>
        <v>-5000</v>
      </c>
      <c r="C1317" s="70">
        <v>1316</v>
      </c>
      <c r="E1317" s="66">
        <v>5000</v>
      </c>
      <c r="F1317" s="85">
        <v>45692</v>
      </c>
      <c r="G1317" s="64" t="s">
        <v>33</v>
      </c>
      <c r="H1317"/>
      <c r="I1317"/>
    </row>
    <row r="1318" spans="1:9" x14ac:dyDescent="0.35">
      <c r="A1318" s="71">
        <f t="shared" si="41"/>
        <v>142568.09999999998</v>
      </c>
      <c r="B1318" s="72">
        <f t="shared" si="40"/>
        <v>-74</v>
      </c>
      <c r="C1318" s="70">
        <v>1317</v>
      </c>
      <c r="E1318" s="66">
        <v>74</v>
      </c>
      <c r="F1318" s="85">
        <v>45692</v>
      </c>
      <c r="G1318" s="64" t="s">
        <v>131</v>
      </c>
      <c r="H1318"/>
      <c r="I1318"/>
    </row>
    <row r="1319" spans="1:9" x14ac:dyDescent="0.35">
      <c r="A1319" s="71">
        <f t="shared" si="41"/>
        <v>142363.09999999998</v>
      </c>
      <c r="B1319" s="72">
        <f t="shared" si="40"/>
        <v>-205</v>
      </c>
      <c r="C1319" s="70">
        <v>1318</v>
      </c>
      <c r="E1319" s="66">
        <v>205</v>
      </c>
      <c r="F1319" s="85">
        <v>45692</v>
      </c>
      <c r="G1319" s="64" t="s">
        <v>744</v>
      </c>
      <c r="H1319"/>
      <c r="I1319"/>
    </row>
    <row r="1320" spans="1:9" x14ac:dyDescent="0.35">
      <c r="A1320" s="71">
        <f t="shared" si="41"/>
        <v>158203.09999999998</v>
      </c>
      <c r="B1320" s="72">
        <f t="shared" si="40"/>
        <v>15840</v>
      </c>
      <c r="C1320" s="70">
        <v>1319</v>
      </c>
      <c r="D1320" s="65">
        <v>15840</v>
      </c>
      <c r="F1320" s="85">
        <v>45693</v>
      </c>
      <c r="G1320" s="64" t="s">
        <v>844</v>
      </c>
      <c r="H1320"/>
      <c r="I1320"/>
    </row>
    <row r="1321" spans="1:9" x14ac:dyDescent="0.35">
      <c r="A1321" s="71">
        <f t="shared" si="41"/>
        <v>158118.09999999998</v>
      </c>
      <c r="B1321" s="72">
        <f t="shared" si="40"/>
        <v>-85</v>
      </c>
      <c r="C1321" s="70">
        <v>1320</v>
      </c>
      <c r="E1321" s="66">
        <v>85</v>
      </c>
      <c r="F1321" s="85">
        <v>45693</v>
      </c>
      <c r="G1321" s="64" t="s">
        <v>752</v>
      </c>
      <c r="H1321"/>
      <c r="I1321"/>
    </row>
    <row r="1322" spans="1:9" x14ac:dyDescent="0.35">
      <c r="A1322" s="71">
        <f t="shared" si="41"/>
        <v>158036.09999999998</v>
      </c>
      <c r="B1322" s="72">
        <f t="shared" si="40"/>
        <v>-82</v>
      </c>
      <c r="C1322" s="70">
        <v>1321</v>
      </c>
      <c r="E1322" s="66">
        <v>82</v>
      </c>
      <c r="F1322" s="85">
        <v>45693</v>
      </c>
      <c r="G1322" s="64" t="s">
        <v>566</v>
      </c>
      <c r="H1322"/>
      <c r="I1322"/>
    </row>
    <row r="1323" spans="1:9" x14ac:dyDescent="0.35">
      <c r="A1323" s="71">
        <f t="shared" si="41"/>
        <v>157916.09999999998</v>
      </c>
      <c r="B1323" s="72">
        <f t="shared" si="40"/>
        <v>-120</v>
      </c>
      <c r="C1323" s="70">
        <v>1322</v>
      </c>
      <c r="E1323" s="66">
        <v>120</v>
      </c>
      <c r="F1323" s="85">
        <v>45693</v>
      </c>
      <c r="G1323" s="64" t="s">
        <v>745</v>
      </c>
      <c r="H1323"/>
      <c r="I1323"/>
    </row>
    <row r="1324" spans="1:9" x14ac:dyDescent="0.35">
      <c r="A1324" s="71">
        <f t="shared" si="41"/>
        <v>157541.09999999998</v>
      </c>
      <c r="B1324" s="72">
        <f t="shared" si="40"/>
        <v>-375</v>
      </c>
      <c r="C1324" s="70">
        <v>1323</v>
      </c>
      <c r="E1324" s="66">
        <v>375</v>
      </c>
      <c r="F1324" s="85">
        <v>45693</v>
      </c>
      <c r="G1324" s="64" t="s">
        <v>746</v>
      </c>
      <c r="H1324"/>
      <c r="I1324"/>
    </row>
    <row r="1325" spans="1:9" x14ac:dyDescent="0.35">
      <c r="A1325" s="71">
        <f t="shared" si="41"/>
        <v>157466.09999999998</v>
      </c>
      <c r="B1325" s="72">
        <f t="shared" si="40"/>
        <v>-75</v>
      </c>
      <c r="C1325" s="70">
        <v>1324</v>
      </c>
      <c r="E1325" s="66">
        <v>75</v>
      </c>
      <c r="F1325" s="85">
        <v>45693</v>
      </c>
      <c r="G1325" s="64" t="s">
        <v>459</v>
      </c>
      <c r="H1325"/>
      <c r="I1325"/>
    </row>
    <row r="1326" spans="1:9" x14ac:dyDescent="0.35">
      <c r="A1326" s="71">
        <f t="shared" si="41"/>
        <v>155966.09999999998</v>
      </c>
      <c r="B1326" s="72">
        <f t="shared" si="40"/>
        <v>-1500</v>
      </c>
      <c r="C1326" s="70">
        <v>1325</v>
      </c>
      <c r="E1326" s="66">
        <v>1500</v>
      </c>
      <c r="F1326" s="85">
        <v>45693</v>
      </c>
      <c r="G1326" s="64" t="s">
        <v>177</v>
      </c>
      <c r="H1326"/>
      <c r="I1326"/>
    </row>
    <row r="1327" spans="1:9" x14ac:dyDescent="0.35">
      <c r="A1327" s="71">
        <f t="shared" si="41"/>
        <v>152666.09999999998</v>
      </c>
      <c r="B1327" s="72">
        <f t="shared" si="40"/>
        <v>-3300</v>
      </c>
      <c r="C1327" s="70">
        <v>1326</v>
      </c>
      <c r="E1327" s="66">
        <v>3300</v>
      </c>
      <c r="F1327" s="85">
        <v>45693</v>
      </c>
      <c r="G1327" s="64" t="s">
        <v>747</v>
      </c>
      <c r="H1327"/>
      <c r="I1327"/>
    </row>
    <row r="1328" spans="1:9" x14ac:dyDescent="0.35">
      <c r="A1328" s="71">
        <f t="shared" si="41"/>
        <v>153216.09999999998</v>
      </c>
      <c r="B1328" s="72">
        <f t="shared" si="40"/>
        <v>550</v>
      </c>
      <c r="C1328" s="70">
        <v>1327</v>
      </c>
      <c r="D1328" s="65">
        <v>775</v>
      </c>
      <c r="E1328" s="66">
        <v>225</v>
      </c>
      <c r="F1328" s="85">
        <v>45694</v>
      </c>
      <c r="G1328" s="64" t="s">
        <v>749</v>
      </c>
      <c r="H1328"/>
      <c r="I1328"/>
    </row>
    <row r="1329" spans="1:9" x14ac:dyDescent="0.35">
      <c r="A1329" s="71">
        <f t="shared" si="41"/>
        <v>152716.09999999998</v>
      </c>
      <c r="B1329" s="72">
        <f t="shared" si="40"/>
        <v>-500</v>
      </c>
      <c r="C1329" s="70">
        <v>1328</v>
      </c>
      <c r="E1329" s="66">
        <v>500</v>
      </c>
      <c r="F1329" s="85">
        <v>45696</v>
      </c>
      <c r="G1329" s="64" t="s">
        <v>177</v>
      </c>
      <c r="H1329"/>
      <c r="I1329"/>
    </row>
    <row r="1330" spans="1:9" x14ac:dyDescent="0.35">
      <c r="A1330" s="71">
        <f t="shared" si="41"/>
        <v>147716.09999999998</v>
      </c>
      <c r="B1330" s="72">
        <f t="shared" si="40"/>
        <v>-5000</v>
      </c>
      <c r="C1330" s="70">
        <v>1329</v>
      </c>
      <c r="E1330" s="66">
        <v>5000</v>
      </c>
      <c r="F1330" s="85">
        <v>45696</v>
      </c>
      <c r="G1330" s="64" t="s">
        <v>748</v>
      </c>
      <c r="H1330"/>
      <c r="I1330"/>
    </row>
    <row r="1331" spans="1:9" x14ac:dyDescent="0.35">
      <c r="A1331" s="71">
        <f t="shared" si="41"/>
        <v>147716.09999999998</v>
      </c>
      <c r="B1331" s="72">
        <f t="shared" si="40"/>
        <v>0</v>
      </c>
      <c r="C1331" s="70">
        <v>1330</v>
      </c>
      <c r="D1331" s="65">
        <v>1000</v>
      </c>
      <c r="E1331" s="66">
        <v>1000</v>
      </c>
      <c r="F1331" s="85">
        <v>45696</v>
      </c>
      <c r="G1331" s="64" t="s">
        <v>751</v>
      </c>
      <c r="H1331"/>
      <c r="I1331"/>
    </row>
    <row r="1332" spans="1:9" x14ac:dyDescent="0.35">
      <c r="A1332" s="71">
        <f t="shared" si="41"/>
        <v>147716.09999999998</v>
      </c>
      <c r="B1332" s="72">
        <f t="shared" si="40"/>
        <v>0</v>
      </c>
      <c r="C1332" s="70">
        <v>1331</v>
      </c>
      <c r="D1332" s="65">
        <v>200</v>
      </c>
      <c r="E1332" s="66">
        <v>200</v>
      </c>
      <c r="F1332" s="85">
        <v>45696</v>
      </c>
      <c r="G1332" s="64" t="s">
        <v>750</v>
      </c>
      <c r="H1332"/>
      <c r="I1332"/>
    </row>
    <row r="1333" spans="1:9" x14ac:dyDescent="0.35">
      <c r="A1333" s="71">
        <f t="shared" si="41"/>
        <v>153301.09999999998</v>
      </c>
      <c r="B1333" s="72">
        <f t="shared" si="40"/>
        <v>5585</v>
      </c>
      <c r="C1333" s="70">
        <v>1332</v>
      </c>
      <c r="D1333" s="65">
        <v>5655</v>
      </c>
      <c r="E1333" s="66">
        <v>70</v>
      </c>
      <c r="F1333" s="85">
        <v>45696</v>
      </c>
      <c r="G1333" s="64" t="s">
        <v>461</v>
      </c>
      <c r="H1333"/>
      <c r="I1333"/>
    </row>
    <row r="1334" spans="1:9" x14ac:dyDescent="0.35">
      <c r="A1334" s="71">
        <f t="shared" si="41"/>
        <v>148801.09999999998</v>
      </c>
      <c r="B1334" s="72">
        <f t="shared" si="40"/>
        <v>-4500</v>
      </c>
      <c r="C1334" s="70">
        <v>1333</v>
      </c>
      <c r="E1334" s="66">
        <v>4500</v>
      </c>
      <c r="F1334" s="85">
        <v>45696</v>
      </c>
      <c r="G1334" s="64" t="s">
        <v>753</v>
      </c>
      <c r="H1334"/>
      <c r="I1334"/>
    </row>
    <row r="1335" spans="1:9" x14ac:dyDescent="0.35">
      <c r="A1335" s="71">
        <f t="shared" si="41"/>
        <v>148501.09999999998</v>
      </c>
      <c r="B1335" s="72">
        <f t="shared" si="40"/>
        <v>-300</v>
      </c>
      <c r="C1335" s="70">
        <v>1334</v>
      </c>
      <c r="E1335" s="66">
        <v>300</v>
      </c>
      <c r="F1335" s="85">
        <v>45697</v>
      </c>
      <c r="G1335" s="64" t="s">
        <v>757</v>
      </c>
      <c r="H1335"/>
      <c r="I1335"/>
    </row>
    <row r="1336" spans="1:9" x14ac:dyDescent="0.35">
      <c r="A1336" s="71">
        <f t="shared" si="41"/>
        <v>148281.09999999998</v>
      </c>
      <c r="B1336" s="72">
        <f t="shared" si="40"/>
        <v>-220</v>
      </c>
      <c r="C1336" s="70">
        <v>1335</v>
      </c>
      <c r="E1336" s="66">
        <v>220</v>
      </c>
      <c r="F1336" s="85">
        <v>45697</v>
      </c>
      <c r="G1336" s="64" t="s">
        <v>50</v>
      </c>
      <c r="H1336"/>
      <c r="I1336"/>
    </row>
    <row r="1337" spans="1:9" x14ac:dyDescent="0.35">
      <c r="A1337" s="71">
        <f t="shared" si="41"/>
        <v>146281.09999999998</v>
      </c>
      <c r="B1337" s="72">
        <f t="shared" si="40"/>
        <v>-2000</v>
      </c>
      <c r="C1337" s="70">
        <v>1336</v>
      </c>
      <c r="E1337" s="66">
        <v>2000</v>
      </c>
      <c r="F1337" s="85">
        <v>45697</v>
      </c>
      <c r="G1337" s="64" t="s">
        <v>571</v>
      </c>
      <c r="H1337"/>
      <c r="I1337"/>
    </row>
    <row r="1338" spans="1:9" x14ac:dyDescent="0.35">
      <c r="A1338" s="71">
        <f t="shared" si="41"/>
        <v>146206.09999999998</v>
      </c>
      <c r="B1338" s="72">
        <f t="shared" si="40"/>
        <v>-75</v>
      </c>
      <c r="C1338" s="70">
        <v>1337</v>
      </c>
      <c r="E1338" s="66">
        <v>75</v>
      </c>
      <c r="F1338" s="85">
        <v>45697</v>
      </c>
      <c r="G1338" s="64" t="s">
        <v>476</v>
      </c>
      <c r="H1338"/>
      <c r="I1338"/>
    </row>
    <row r="1339" spans="1:9" x14ac:dyDescent="0.35">
      <c r="A1339" s="71">
        <f t="shared" si="41"/>
        <v>166121.09999999998</v>
      </c>
      <c r="B1339" s="72">
        <f t="shared" si="40"/>
        <v>19915</v>
      </c>
      <c r="C1339" s="70">
        <v>1338</v>
      </c>
      <c r="D1339" s="65">
        <v>20065</v>
      </c>
      <c r="E1339" s="66">
        <v>150</v>
      </c>
      <c r="F1339" s="85">
        <v>45697</v>
      </c>
      <c r="G1339" s="64" t="s">
        <v>485</v>
      </c>
      <c r="H1339"/>
      <c r="I1339"/>
    </row>
    <row r="1340" spans="1:9" x14ac:dyDescent="0.35">
      <c r="A1340" s="71">
        <f t="shared" si="41"/>
        <v>165321.09999999998</v>
      </c>
      <c r="B1340" s="72">
        <f t="shared" si="40"/>
        <v>-800</v>
      </c>
      <c r="C1340" s="70">
        <v>1339</v>
      </c>
      <c r="E1340" s="66">
        <v>800</v>
      </c>
      <c r="F1340" s="85">
        <v>45697</v>
      </c>
      <c r="G1340" s="64" t="s">
        <v>754</v>
      </c>
      <c r="H1340"/>
      <c r="I1340"/>
    </row>
    <row r="1341" spans="1:9" x14ac:dyDescent="0.35">
      <c r="A1341" s="71">
        <f t="shared" si="41"/>
        <v>164921.09999999998</v>
      </c>
      <c r="B1341" s="72">
        <f t="shared" si="40"/>
        <v>-400</v>
      </c>
      <c r="C1341" s="70">
        <v>1340</v>
      </c>
      <c r="E1341" s="66">
        <v>400</v>
      </c>
      <c r="F1341" s="85">
        <v>45697</v>
      </c>
      <c r="G1341" s="64" t="s">
        <v>755</v>
      </c>
      <c r="H1341"/>
      <c r="I1341"/>
    </row>
    <row r="1342" spans="1:9" x14ac:dyDescent="0.35">
      <c r="A1342" s="71">
        <f t="shared" si="41"/>
        <v>162921.09999999998</v>
      </c>
      <c r="B1342" s="72">
        <f t="shared" si="40"/>
        <v>-2000</v>
      </c>
      <c r="C1342" s="70">
        <v>1341</v>
      </c>
      <c r="E1342" s="66">
        <v>2000</v>
      </c>
      <c r="F1342" s="85">
        <v>45697</v>
      </c>
      <c r="G1342" s="64" t="s">
        <v>756</v>
      </c>
      <c r="H1342"/>
      <c r="I1342"/>
    </row>
    <row r="1343" spans="1:9" x14ac:dyDescent="0.35">
      <c r="A1343" s="71">
        <f t="shared" si="41"/>
        <v>121319.09999999998</v>
      </c>
      <c r="B1343" s="72">
        <f t="shared" si="40"/>
        <v>-41602</v>
      </c>
      <c r="C1343" s="70">
        <v>1342</v>
      </c>
      <c r="E1343" s="66">
        <v>41602</v>
      </c>
      <c r="F1343" s="85">
        <v>45698</v>
      </c>
      <c r="G1343" s="64" t="s">
        <v>18</v>
      </c>
      <c r="H1343"/>
      <c r="I1343"/>
    </row>
    <row r="1344" spans="1:9" x14ac:dyDescent="0.35">
      <c r="A1344" s="71">
        <f t="shared" si="41"/>
        <v>106119.09999999998</v>
      </c>
      <c r="B1344" s="72">
        <f t="shared" si="40"/>
        <v>-15200</v>
      </c>
      <c r="C1344" s="70">
        <v>1343</v>
      </c>
      <c r="E1344" s="66">
        <v>15200</v>
      </c>
      <c r="F1344" s="85">
        <v>45698</v>
      </c>
      <c r="G1344" s="64" t="s">
        <v>279</v>
      </c>
      <c r="H1344"/>
      <c r="I1344"/>
    </row>
    <row r="1345" spans="1:9" x14ac:dyDescent="0.35">
      <c r="A1345" s="71">
        <f t="shared" si="41"/>
        <v>103119.09999999998</v>
      </c>
      <c r="B1345" s="72">
        <f t="shared" si="40"/>
        <v>-3000</v>
      </c>
      <c r="C1345" s="70">
        <v>1344</v>
      </c>
      <c r="E1345" s="66">
        <v>3000</v>
      </c>
      <c r="F1345" s="85">
        <v>45698</v>
      </c>
      <c r="G1345" s="64" t="s">
        <v>760</v>
      </c>
      <c r="H1345"/>
      <c r="I1345"/>
    </row>
    <row r="1346" spans="1:9" x14ac:dyDescent="0.35">
      <c r="A1346" s="71">
        <f t="shared" si="41"/>
        <v>105209.09999999998</v>
      </c>
      <c r="B1346" s="72">
        <f t="shared" si="40"/>
        <v>2090</v>
      </c>
      <c r="C1346" s="70">
        <v>1345</v>
      </c>
      <c r="D1346" s="65">
        <v>2165</v>
      </c>
      <c r="E1346" s="66">
        <v>75</v>
      </c>
      <c r="F1346" s="85">
        <v>45698</v>
      </c>
      <c r="G1346" s="64" t="s">
        <v>710</v>
      </c>
      <c r="H1346"/>
      <c r="I1346"/>
    </row>
    <row r="1347" spans="1:9" x14ac:dyDescent="0.35">
      <c r="A1347" s="71">
        <f t="shared" si="41"/>
        <v>105134.09999999998</v>
      </c>
      <c r="B1347" s="72">
        <f t="shared" ref="B1347:B1410" si="42">SUM(D1347-E1347)</f>
        <v>-75</v>
      </c>
      <c r="C1347" s="70">
        <v>1346</v>
      </c>
      <c r="E1347" s="66">
        <v>75</v>
      </c>
      <c r="F1347" s="85">
        <v>45699</v>
      </c>
      <c r="G1347" s="64" t="s">
        <v>758</v>
      </c>
      <c r="H1347"/>
      <c r="I1347"/>
    </row>
    <row r="1348" spans="1:9" x14ac:dyDescent="0.35">
      <c r="A1348" s="71">
        <f t="shared" ref="A1348:A1411" si="43">SUM(A1347+B1348)</f>
        <v>104534.09999999998</v>
      </c>
      <c r="B1348" s="72">
        <f t="shared" si="42"/>
        <v>-600</v>
      </c>
      <c r="C1348" s="70">
        <v>1347</v>
      </c>
      <c r="E1348" s="66">
        <v>600</v>
      </c>
      <c r="F1348" s="85">
        <v>45699</v>
      </c>
      <c r="G1348" s="64" t="s">
        <v>759</v>
      </c>
      <c r="H1348"/>
      <c r="I1348"/>
    </row>
    <row r="1349" spans="1:9" x14ac:dyDescent="0.35">
      <c r="A1349" s="71">
        <f t="shared" si="43"/>
        <v>140319.09999999998</v>
      </c>
      <c r="B1349" s="72">
        <f t="shared" si="42"/>
        <v>35785</v>
      </c>
      <c r="C1349" s="70">
        <v>1348</v>
      </c>
      <c r="D1349" s="65">
        <v>35785</v>
      </c>
      <c r="F1349" s="85">
        <v>45699</v>
      </c>
      <c r="H1349"/>
      <c r="I1349"/>
    </row>
    <row r="1350" spans="1:9" x14ac:dyDescent="0.35">
      <c r="A1350" s="71">
        <f t="shared" si="43"/>
        <v>89969.099999999977</v>
      </c>
      <c r="B1350" s="72">
        <f t="shared" si="42"/>
        <v>-50350</v>
      </c>
      <c r="C1350" s="70">
        <v>1349</v>
      </c>
      <c r="E1350" s="66">
        <v>50350</v>
      </c>
      <c r="F1350" s="85">
        <v>45699</v>
      </c>
      <c r="G1350" s="64" t="s">
        <v>13</v>
      </c>
      <c r="H1350"/>
      <c r="I1350"/>
    </row>
    <row r="1351" spans="1:9" x14ac:dyDescent="0.35">
      <c r="A1351" s="71">
        <f t="shared" si="43"/>
        <v>84969.099999999977</v>
      </c>
      <c r="B1351" s="72">
        <f t="shared" si="42"/>
        <v>-5000</v>
      </c>
      <c r="C1351" s="70">
        <v>1350</v>
      </c>
      <c r="E1351" s="66">
        <v>5000</v>
      </c>
      <c r="F1351" s="85">
        <v>45699</v>
      </c>
      <c r="G1351" s="64" t="s">
        <v>761</v>
      </c>
      <c r="H1351"/>
      <c r="I1351"/>
    </row>
    <row r="1352" spans="1:9" x14ac:dyDescent="0.35">
      <c r="A1352" s="71">
        <f t="shared" si="43"/>
        <v>84949.099999999977</v>
      </c>
      <c r="B1352" s="72">
        <f t="shared" si="42"/>
        <v>-20</v>
      </c>
      <c r="C1352" s="70">
        <v>1351</v>
      </c>
      <c r="E1352" s="66">
        <v>20</v>
      </c>
      <c r="F1352" s="85">
        <v>45699</v>
      </c>
      <c r="G1352" s="64" t="s">
        <v>332</v>
      </c>
      <c r="H1352"/>
      <c r="I1352"/>
    </row>
    <row r="1353" spans="1:9" x14ac:dyDescent="0.35">
      <c r="A1353" s="71">
        <f t="shared" si="43"/>
        <v>84874.099999999977</v>
      </c>
      <c r="B1353" s="72">
        <f t="shared" si="42"/>
        <v>-75</v>
      </c>
      <c r="C1353" s="70">
        <v>1352</v>
      </c>
      <c r="E1353" s="66">
        <v>75</v>
      </c>
      <c r="F1353" s="85">
        <v>45699</v>
      </c>
      <c r="G1353" s="64" t="s">
        <v>626</v>
      </c>
      <c r="H1353"/>
      <c r="I1353"/>
    </row>
    <row r="1354" spans="1:9" x14ac:dyDescent="0.35">
      <c r="A1354" s="71">
        <f t="shared" si="43"/>
        <v>83324.099999999977</v>
      </c>
      <c r="B1354" s="72">
        <f t="shared" si="42"/>
        <v>-1550</v>
      </c>
      <c r="C1354" s="70">
        <v>1353</v>
      </c>
      <c r="E1354" s="66">
        <v>1550</v>
      </c>
      <c r="F1354" s="85">
        <v>45699</v>
      </c>
      <c r="G1354" s="64" t="s">
        <v>764</v>
      </c>
      <c r="H1354"/>
      <c r="I1354"/>
    </row>
    <row r="1355" spans="1:9" x14ac:dyDescent="0.35">
      <c r="A1355" s="71">
        <f t="shared" si="43"/>
        <v>83289.099999999977</v>
      </c>
      <c r="B1355" s="72">
        <f t="shared" si="42"/>
        <v>-35</v>
      </c>
      <c r="C1355" s="70">
        <v>1354</v>
      </c>
      <c r="E1355" s="66">
        <v>35</v>
      </c>
      <c r="F1355" s="85">
        <v>45699</v>
      </c>
      <c r="G1355" s="64" t="s">
        <v>762</v>
      </c>
      <c r="H1355"/>
      <c r="I1355"/>
    </row>
    <row r="1356" spans="1:9" x14ac:dyDescent="0.35">
      <c r="A1356" s="71">
        <f t="shared" si="43"/>
        <v>91019.099999999977</v>
      </c>
      <c r="B1356" s="72">
        <f t="shared" si="42"/>
        <v>7730</v>
      </c>
      <c r="C1356" s="70">
        <v>1355</v>
      </c>
      <c r="D1356" s="65">
        <v>7805</v>
      </c>
      <c r="E1356" s="66">
        <v>75</v>
      </c>
      <c r="F1356" s="85">
        <v>45700</v>
      </c>
      <c r="G1356" s="64" t="s">
        <v>488</v>
      </c>
      <c r="H1356"/>
      <c r="I1356"/>
    </row>
    <row r="1357" spans="1:9" x14ac:dyDescent="0.35">
      <c r="A1357" s="71">
        <f t="shared" si="43"/>
        <v>89479.099999999977</v>
      </c>
      <c r="B1357" s="72">
        <f t="shared" si="42"/>
        <v>-1540</v>
      </c>
      <c r="C1357" s="70">
        <v>1356</v>
      </c>
      <c r="E1357" s="66">
        <v>1540</v>
      </c>
      <c r="F1357" s="85">
        <v>45700</v>
      </c>
      <c r="G1357" s="64" t="s">
        <v>64</v>
      </c>
      <c r="H1357"/>
      <c r="I1357"/>
    </row>
    <row r="1358" spans="1:9" x14ac:dyDescent="0.35">
      <c r="A1358" s="71">
        <f t="shared" si="43"/>
        <v>90999.099999999977</v>
      </c>
      <c r="B1358" s="72">
        <f t="shared" si="42"/>
        <v>1520</v>
      </c>
      <c r="C1358" s="70">
        <v>1357</v>
      </c>
      <c r="D1358" s="65">
        <v>1595</v>
      </c>
      <c r="E1358" s="66">
        <v>75</v>
      </c>
      <c r="F1358" s="85">
        <v>45701</v>
      </c>
      <c r="G1358" s="64" t="s">
        <v>491</v>
      </c>
      <c r="H1358"/>
      <c r="I1358"/>
    </row>
    <row r="1359" spans="1:9" x14ac:dyDescent="0.35">
      <c r="A1359" s="71">
        <f t="shared" si="43"/>
        <v>90599.099999999977</v>
      </c>
      <c r="B1359" s="72">
        <f t="shared" si="42"/>
        <v>-400</v>
      </c>
      <c r="C1359" s="70">
        <v>1358</v>
      </c>
      <c r="E1359" s="66">
        <v>400</v>
      </c>
      <c r="F1359" s="85">
        <v>45701</v>
      </c>
      <c r="G1359" s="64" t="s">
        <v>120</v>
      </c>
      <c r="H1359"/>
      <c r="I1359"/>
    </row>
    <row r="1360" spans="1:9" x14ac:dyDescent="0.35">
      <c r="A1360" s="71">
        <f t="shared" si="43"/>
        <v>98214.099999999977</v>
      </c>
      <c r="B1360" s="72">
        <f t="shared" si="42"/>
        <v>7615</v>
      </c>
      <c r="C1360" s="70">
        <v>1359</v>
      </c>
      <c r="D1360" s="65">
        <v>7840</v>
      </c>
      <c r="E1360" s="66">
        <v>225</v>
      </c>
      <c r="F1360" s="85">
        <v>45703</v>
      </c>
      <c r="G1360" s="64" t="s">
        <v>631</v>
      </c>
      <c r="H1360"/>
      <c r="I1360"/>
    </row>
    <row r="1361" spans="1:9" x14ac:dyDescent="0.35">
      <c r="A1361" s="71">
        <f t="shared" si="43"/>
        <v>98129.099999999977</v>
      </c>
      <c r="B1361" s="72">
        <f t="shared" si="42"/>
        <v>-85</v>
      </c>
      <c r="C1361" s="70">
        <v>1360</v>
      </c>
      <c r="E1361" s="66">
        <v>85</v>
      </c>
      <c r="F1361" s="85">
        <v>45703</v>
      </c>
      <c r="G1361" s="64" t="s">
        <v>400</v>
      </c>
      <c r="H1361"/>
      <c r="I1361"/>
    </row>
    <row r="1362" spans="1:9" x14ac:dyDescent="0.35">
      <c r="A1362" s="71">
        <f t="shared" si="43"/>
        <v>97779.099999999977</v>
      </c>
      <c r="B1362" s="72">
        <f t="shared" si="42"/>
        <v>-350</v>
      </c>
      <c r="C1362" s="70">
        <v>1361</v>
      </c>
      <c r="E1362" s="66">
        <v>350</v>
      </c>
      <c r="F1362" s="85">
        <v>45704</v>
      </c>
      <c r="G1362" s="64" t="s">
        <v>763</v>
      </c>
      <c r="H1362"/>
      <c r="I1362"/>
    </row>
    <row r="1363" spans="1:9" x14ac:dyDescent="0.35">
      <c r="A1363" s="71">
        <f t="shared" si="43"/>
        <v>96579.099999999977</v>
      </c>
      <c r="B1363" s="72">
        <f t="shared" si="42"/>
        <v>-1200</v>
      </c>
      <c r="C1363" s="70">
        <v>1362</v>
      </c>
      <c r="E1363" s="66">
        <v>1200</v>
      </c>
      <c r="F1363" s="85">
        <v>45704</v>
      </c>
      <c r="G1363" s="64" t="s">
        <v>765</v>
      </c>
      <c r="H1363"/>
      <c r="I1363"/>
    </row>
    <row r="1364" spans="1:9" x14ac:dyDescent="0.35">
      <c r="A1364" s="71">
        <f t="shared" si="43"/>
        <v>96434.099999999977</v>
      </c>
      <c r="B1364" s="72">
        <f t="shared" si="42"/>
        <v>-145</v>
      </c>
      <c r="C1364" s="70">
        <v>1363</v>
      </c>
      <c r="E1364" s="66">
        <v>145</v>
      </c>
      <c r="F1364" s="85">
        <v>45704</v>
      </c>
      <c r="G1364" s="64" t="s">
        <v>755</v>
      </c>
      <c r="H1364"/>
      <c r="I1364"/>
    </row>
    <row r="1365" spans="1:9" x14ac:dyDescent="0.35">
      <c r="A1365" s="71">
        <f t="shared" si="43"/>
        <v>94934.099999999977</v>
      </c>
      <c r="B1365" s="72">
        <f t="shared" si="42"/>
        <v>-1500</v>
      </c>
      <c r="C1365" s="70">
        <v>1364</v>
      </c>
      <c r="E1365" s="66">
        <v>1500</v>
      </c>
      <c r="F1365" s="85">
        <v>45704</v>
      </c>
      <c r="G1365" s="64" t="s">
        <v>177</v>
      </c>
      <c r="H1365"/>
      <c r="I1365"/>
    </row>
    <row r="1366" spans="1:9" x14ac:dyDescent="0.35">
      <c r="A1366" s="71">
        <f t="shared" si="43"/>
        <v>92934.099999999977</v>
      </c>
      <c r="B1366" s="72">
        <f t="shared" si="42"/>
        <v>-2000</v>
      </c>
      <c r="C1366" s="70">
        <v>1365</v>
      </c>
      <c r="E1366" s="66">
        <v>2000</v>
      </c>
      <c r="F1366" s="85">
        <v>45704</v>
      </c>
      <c r="G1366" s="64" t="s">
        <v>766</v>
      </c>
      <c r="H1366"/>
      <c r="I1366"/>
    </row>
    <row r="1367" spans="1:9" x14ac:dyDescent="0.35">
      <c r="A1367" s="71">
        <f t="shared" si="43"/>
        <v>115794.09999999998</v>
      </c>
      <c r="B1367" s="72">
        <f t="shared" si="42"/>
        <v>22860</v>
      </c>
      <c r="C1367" s="70">
        <v>1366</v>
      </c>
      <c r="D1367" s="65">
        <v>22935</v>
      </c>
      <c r="E1367" s="66">
        <v>75</v>
      </c>
      <c r="F1367" s="85">
        <v>45704</v>
      </c>
      <c r="G1367" s="64" t="s">
        <v>499</v>
      </c>
      <c r="H1367"/>
      <c r="I1367"/>
    </row>
    <row r="1368" spans="1:9" x14ac:dyDescent="0.35">
      <c r="A1368" s="71">
        <f t="shared" si="43"/>
        <v>115074.09999999998</v>
      </c>
      <c r="B1368" s="72">
        <f t="shared" si="42"/>
        <v>-720</v>
      </c>
      <c r="C1368" s="70">
        <v>1367</v>
      </c>
      <c r="E1368" s="66">
        <v>720</v>
      </c>
      <c r="F1368" s="85">
        <v>45704</v>
      </c>
      <c r="G1368" s="64" t="s">
        <v>767</v>
      </c>
      <c r="H1368"/>
      <c r="I1368"/>
    </row>
    <row r="1369" spans="1:9" x14ac:dyDescent="0.35">
      <c r="A1369" s="71">
        <f t="shared" si="43"/>
        <v>118374.09999999998</v>
      </c>
      <c r="B1369" s="72">
        <f t="shared" si="42"/>
        <v>3300</v>
      </c>
      <c r="C1369" s="70">
        <v>1368</v>
      </c>
      <c r="D1369" s="65">
        <v>3385</v>
      </c>
      <c r="E1369" s="66">
        <v>85</v>
      </c>
      <c r="F1369" s="85">
        <v>45705</v>
      </c>
      <c r="G1369" s="64" t="s">
        <v>400</v>
      </c>
      <c r="H1369"/>
      <c r="I1369"/>
    </row>
    <row r="1370" spans="1:9" x14ac:dyDescent="0.35">
      <c r="A1370" s="71">
        <f t="shared" si="43"/>
        <v>118289.09999999998</v>
      </c>
      <c r="B1370" s="72">
        <f t="shared" si="42"/>
        <v>-85</v>
      </c>
      <c r="C1370" s="70">
        <v>1369</v>
      </c>
      <c r="E1370" s="66">
        <v>85</v>
      </c>
      <c r="F1370" s="85">
        <v>45705</v>
      </c>
      <c r="G1370" s="64" t="s">
        <v>752</v>
      </c>
      <c r="H1370"/>
      <c r="I1370"/>
    </row>
    <row r="1371" spans="1:9" x14ac:dyDescent="0.35">
      <c r="A1371" s="71">
        <f t="shared" si="43"/>
        <v>118214.09999999998</v>
      </c>
      <c r="B1371" s="72">
        <f t="shared" si="42"/>
        <v>-75</v>
      </c>
      <c r="C1371" s="70">
        <v>1370</v>
      </c>
      <c r="E1371" s="66">
        <v>75</v>
      </c>
      <c r="F1371" s="85">
        <v>45705</v>
      </c>
      <c r="G1371" s="64" t="s">
        <v>500</v>
      </c>
      <c r="H1371"/>
      <c r="I1371"/>
    </row>
    <row r="1372" spans="1:9" x14ac:dyDescent="0.35">
      <c r="A1372" s="71">
        <f t="shared" si="43"/>
        <v>118114.09999999998</v>
      </c>
      <c r="B1372" s="72">
        <f t="shared" si="42"/>
        <v>-100</v>
      </c>
      <c r="C1372" s="70">
        <v>1371</v>
      </c>
      <c r="E1372" s="66">
        <v>100</v>
      </c>
      <c r="F1372" s="85">
        <v>45705</v>
      </c>
      <c r="G1372" s="64" t="s">
        <v>768</v>
      </c>
      <c r="H1372"/>
      <c r="I1372"/>
    </row>
    <row r="1373" spans="1:9" x14ac:dyDescent="0.35">
      <c r="A1373" s="71">
        <f t="shared" si="43"/>
        <v>118094.09999999998</v>
      </c>
      <c r="B1373" s="72">
        <f t="shared" si="42"/>
        <v>-20</v>
      </c>
      <c r="C1373" s="70">
        <v>1372</v>
      </c>
      <c r="E1373" s="66">
        <v>20</v>
      </c>
      <c r="F1373" s="85">
        <v>45705</v>
      </c>
      <c r="G1373" s="64" t="s">
        <v>325</v>
      </c>
      <c r="H1373"/>
      <c r="I1373"/>
    </row>
    <row r="1374" spans="1:9" x14ac:dyDescent="0.35">
      <c r="A1374" s="71">
        <f t="shared" si="43"/>
        <v>158599.09999999998</v>
      </c>
      <c r="B1374" s="72">
        <f t="shared" si="42"/>
        <v>40505</v>
      </c>
      <c r="C1374" s="70">
        <v>1373</v>
      </c>
      <c r="D1374" s="65">
        <v>40580</v>
      </c>
      <c r="E1374" s="66">
        <v>75</v>
      </c>
      <c r="F1374" s="85">
        <v>45706</v>
      </c>
      <c r="G1374" s="64" t="s">
        <v>726</v>
      </c>
      <c r="H1374"/>
      <c r="I1374"/>
    </row>
    <row r="1375" spans="1:9" x14ac:dyDescent="0.35">
      <c r="A1375" s="71">
        <f t="shared" si="43"/>
        <v>158525.09999999998</v>
      </c>
      <c r="B1375" s="72">
        <f t="shared" si="42"/>
        <v>-74</v>
      </c>
      <c r="C1375" s="70">
        <v>1374</v>
      </c>
      <c r="E1375" s="66">
        <v>74</v>
      </c>
      <c r="F1375" s="85">
        <v>45706</v>
      </c>
      <c r="G1375" s="64" t="s">
        <v>131</v>
      </c>
      <c r="H1375"/>
      <c r="I1375"/>
    </row>
    <row r="1376" spans="1:9" x14ac:dyDescent="0.35">
      <c r="A1376" s="71">
        <f t="shared" si="43"/>
        <v>158485.09999999998</v>
      </c>
      <c r="B1376" s="72">
        <f t="shared" si="42"/>
        <v>-40</v>
      </c>
      <c r="C1376" s="70">
        <v>1375</v>
      </c>
      <c r="E1376" s="66">
        <v>40</v>
      </c>
      <c r="F1376" s="85">
        <v>45706</v>
      </c>
      <c r="G1376" s="64" t="s">
        <v>680</v>
      </c>
      <c r="H1376"/>
      <c r="I1376"/>
    </row>
    <row r="1377" spans="1:9" x14ac:dyDescent="0.35">
      <c r="A1377" s="71">
        <f t="shared" si="43"/>
        <v>141360.09999999998</v>
      </c>
      <c r="B1377" s="72">
        <f t="shared" si="42"/>
        <v>-17125</v>
      </c>
      <c r="C1377" s="70">
        <v>1376</v>
      </c>
      <c r="E1377" s="66">
        <v>17125</v>
      </c>
      <c r="F1377" s="85">
        <v>45706</v>
      </c>
      <c r="G1377" s="64" t="s">
        <v>769</v>
      </c>
      <c r="H1377"/>
      <c r="I1377"/>
    </row>
    <row r="1378" spans="1:9" x14ac:dyDescent="0.35">
      <c r="A1378" s="71">
        <f t="shared" si="43"/>
        <v>146450.09999999998</v>
      </c>
      <c r="B1378" s="72">
        <f t="shared" si="42"/>
        <v>5090</v>
      </c>
      <c r="C1378" s="70">
        <v>1377</v>
      </c>
      <c r="D1378" s="65">
        <v>5315</v>
      </c>
      <c r="E1378" s="66">
        <v>225</v>
      </c>
      <c r="F1378" s="85">
        <v>45707</v>
      </c>
      <c r="G1378" s="64" t="s">
        <v>506</v>
      </c>
      <c r="H1378"/>
      <c r="I1378"/>
    </row>
    <row r="1379" spans="1:9" x14ac:dyDescent="0.35">
      <c r="A1379" s="71">
        <f t="shared" si="43"/>
        <v>144850.09999999998</v>
      </c>
      <c r="B1379" s="72">
        <f t="shared" si="42"/>
        <v>-1600</v>
      </c>
      <c r="C1379" s="70">
        <v>1378</v>
      </c>
      <c r="E1379" s="66">
        <v>1600</v>
      </c>
      <c r="F1379" s="85">
        <v>45707</v>
      </c>
      <c r="G1379" s="64" t="s">
        <v>177</v>
      </c>
      <c r="H1379"/>
      <c r="I1379"/>
    </row>
    <row r="1380" spans="1:9" x14ac:dyDescent="0.35">
      <c r="A1380" s="71">
        <f t="shared" si="43"/>
        <v>144185.09999999998</v>
      </c>
      <c r="B1380" s="72">
        <f t="shared" si="42"/>
        <v>-665</v>
      </c>
      <c r="C1380" s="70">
        <v>1379</v>
      </c>
      <c r="D1380" s="65">
        <v>435</v>
      </c>
      <c r="E1380" s="66">
        <v>1100</v>
      </c>
      <c r="F1380" s="85">
        <v>45708</v>
      </c>
      <c r="G1380" s="64" t="s">
        <v>555</v>
      </c>
      <c r="H1380"/>
      <c r="I1380"/>
    </row>
    <row r="1381" spans="1:9" x14ac:dyDescent="0.35">
      <c r="A1381" s="71">
        <f t="shared" si="43"/>
        <v>144110.09999999998</v>
      </c>
      <c r="B1381" s="72">
        <f t="shared" si="42"/>
        <v>-75</v>
      </c>
      <c r="C1381" s="70">
        <v>1380</v>
      </c>
      <c r="E1381" s="66">
        <v>75</v>
      </c>
      <c r="F1381" s="85">
        <v>45708</v>
      </c>
      <c r="G1381" s="64" t="s">
        <v>773</v>
      </c>
      <c r="H1381"/>
      <c r="I1381"/>
    </row>
    <row r="1382" spans="1:9" x14ac:dyDescent="0.35">
      <c r="A1382" s="71">
        <f t="shared" si="43"/>
        <v>143890.09999999998</v>
      </c>
      <c r="B1382" s="72">
        <f t="shared" si="42"/>
        <v>-220</v>
      </c>
      <c r="C1382" s="70">
        <v>1381</v>
      </c>
      <c r="E1382" s="66">
        <v>220</v>
      </c>
      <c r="F1382" s="85">
        <v>45708</v>
      </c>
      <c r="G1382" s="64" t="s">
        <v>50</v>
      </c>
      <c r="H1382"/>
      <c r="I1382"/>
    </row>
    <row r="1383" spans="1:9" x14ac:dyDescent="0.35">
      <c r="A1383" s="71">
        <f t="shared" si="43"/>
        <v>143875.09999999998</v>
      </c>
      <c r="B1383" s="72">
        <f t="shared" si="42"/>
        <v>-15</v>
      </c>
      <c r="C1383" s="70">
        <v>1382</v>
      </c>
      <c r="E1383" s="66">
        <v>15</v>
      </c>
      <c r="F1383" s="85">
        <v>45708</v>
      </c>
      <c r="G1383" s="64" t="s">
        <v>774</v>
      </c>
      <c r="H1383"/>
      <c r="I1383"/>
    </row>
    <row r="1384" spans="1:9" x14ac:dyDescent="0.35">
      <c r="A1384" s="71">
        <f t="shared" si="43"/>
        <v>143740.09999999998</v>
      </c>
      <c r="B1384" s="72">
        <f t="shared" si="42"/>
        <v>-135</v>
      </c>
      <c r="C1384" s="70">
        <v>1383</v>
      </c>
      <c r="E1384" s="66">
        <v>135</v>
      </c>
      <c r="F1384" s="85">
        <v>45708</v>
      </c>
      <c r="G1384" s="64" t="s">
        <v>65</v>
      </c>
      <c r="H1384"/>
      <c r="I1384"/>
    </row>
    <row r="1385" spans="1:9" x14ac:dyDescent="0.35">
      <c r="A1385" s="71">
        <f t="shared" si="43"/>
        <v>149660.09999999998</v>
      </c>
      <c r="B1385" s="72">
        <f t="shared" si="42"/>
        <v>5920</v>
      </c>
      <c r="C1385" s="70">
        <v>1384</v>
      </c>
      <c r="D1385" s="65">
        <v>6005</v>
      </c>
      <c r="E1385" s="66">
        <v>85</v>
      </c>
      <c r="F1385" s="85">
        <v>45710</v>
      </c>
      <c r="G1385" s="64" t="s">
        <v>400</v>
      </c>
      <c r="H1385"/>
      <c r="I1385"/>
    </row>
    <row r="1386" spans="1:9" x14ac:dyDescent="0.35">
      <c r="A1386" s="71">
        <f t="shared" si="43"/>
        <v>119660.09999999998</v>
      </c>
      <c r="B1386" s="72">
        <f t="shared" si="42"/>
        <v>-30000</v>
      </c>
      <c r="C1386" s="70">
        <v>1385</v>
      </c>
      <c r="E1386" s="66">
        <v>30000</v>
      </c>
      <c r="F1386" s="85">
        <v>45710</v>
      </c>
      <c r="G1386" s="64" t="s">
        <v>591</v>
      </c>
      <c r="H1386"/>
      <c r="I1386"/>
    </row>
    <row r="1387" spans="1:9" x14ac:dyDescent="0.35">
      <c r="A1387" s="71">
        <f t="shared" si="43"/>
        <v>118415.09999999998</v>
      </c>
      <c r="B1387" s="72">
        <f t="shared" si="42"/>
        <v>-1245</v>
      </c>
      <c r="C1387" s="70">
        <v>1386</v>
      </c>
      <c r="E1387" s="66">
        <v>1245</v>
      </c>
      <c r="F1387" s="85">
        <v>45710</v>
      </c>
      <c r="G1387" s="64" t="s">
        <v>772</v>
      </c>
      <c r="H1387"/>
      <c r="I1387"/>
    </row>
    <row r="1388" spans="1:9" x14ac:dyDescent="0.35">
      <c r="A1388" s="71">
        <f t="shared" si="43"/>
        <v>118385.09999999998</v>
      </c>
      <c r="B1388" s="72">
        <f t="shared" si="42"/>
        <v>-30</v>
      </c>
      <c r="C1388" s="70">
        <v>1387</v>
      </c>
      <c r="E1388" s="66">
        <v>30</v>
      </c>
      <c r="F1388" s="85">
        <v>45710</v>
      </c>
      <c r="G1388" s="64" t="s">
        <v>770</v>
      </c>
      <c r="H1388"/>
      <c r="I1388"/>
    </row>
    <row r="1389" spans="1:9" x14ac:dyDescent="0.35">
      <c r="A1389" s="71">
        <f t="shared" si="43"/>
        <v>118350.09999999998</v>
      </c>
      <c r="B1389" s="72">
        <f t="shared" si="42"/>
        <v>-35</v>
      </c>
      <c r="C1389" s="70">
        <v>1388</v>
      </c>
      <c r="E1389" s="66">
        <v>35</v>
      </c>
      <c r="F1389" s="85">
        <v>45710</v>
      </c>
      <c r="G1389" s="64" t="s">
        <v>771</v>
      </c>
      <c r="H1389"/>
      <c r="I1389"/>
    </row>
    <row r="1390" spans="1:9" x14ac:dyDescent="0.35">
      <c r="A1390" s="71">
        <f t="shared" si="43"/>
        <v>118313.09999999998</v>
      </c>
      <c r="B1390" s="72">
        <f t="shared" si="42"/>
        <v>-37</v>
      </c>
      <c r="C1390" s="70">
        <v>1389</v>
      </c>
      <c r="E1390" s="66">
        <v>37</v>
      </c>
      <c r="F1390" s="85">
        <v>45710</v>
      </c>
      <c r="G1390" s="64" t="s">
        <v>775</v>
      </c>
      <c r="H1390"/>
      <c r="I1390"/>
    </row>
    <row r="1391" spans="1:9" x14ac:dyDescent="0.35">
      <c r="A1391" s="71">
        <f t="shared" si="43"/>
        <v>118323.09999999998</v>
      </c>
      <c r="B1391" s="72">
        <f t="shared" si="42"/>
        <v>10</v>
      </c>
      <c r="C1391" s="70">
        <v>1390</v>
      </c>
      <c r="D1391" s="65">
        <v>10</v>
      </c>
      <c r="F1391" s="85">
        <v>45710</v>
      </c>
      <c r="H1391"/>
      <c r="I1391"/>
    </row>
    <row r="1392" spans="1:9" x14ac:dyDescent="0.35">
      <c r="A1392" s="71">
        <f t="shared" si="43"/>
        <v>117323.09999999998</v>
      </c>
      <c r="B1392" s="72">
        <f t="shared" si="42"/>
        <v>-1000</v>
      </c>
      <c r="C1392" s="70">
        <v>1391</v>
      </c>
      <c r="E1392" s="66">
        <v>1000</v>
      </c>
      <c r="F1392" s="85">
        <v>45711</v>
      </c>
      <c r="G1392" s="64" t="s">
        <v>776</v>
      </c>
      <c r="H1392"/>
      <c r="I1392"/>
    </row>
    <row r="1393" spans="1:9" x14ac:dyDescent="0.35">
      <c r="A1393" s="71">
        <f t="shared" si="43"/>
        <v>115123.09999999998</v>
      </c>
      <c r="B1393" s="72">
        <f t="shared" si="42"/>
        <v>-2200</v>
      </c>
      <c r="C1393" s="70">
        <v>1392</v>
      </c>
      <c r="E1393" s="66">
        <v>2200</v>
      </c>
      <c r="F1393" s="85">
        <v>45711</v>
      </c>
      <c r="G1393" s="64" t="s">
        <v>777</v>
      </c>
      <c r="H1393"/>
      <c r="I1393"/>
    </row>
    <row r="1394" spans="1:9" x14ac:dyDescent="0.35">
      <c r="A1394" s="71">
        <f t="shared" si="43"/>
        <v>115123.09999999998</v>
      </c>
      <c r="B1394" s="72">
        <f t="shared" si="42"/>
        <v>0</v>
      </c>
      <c r="C1394" s="70">
        <v>1393</v>
      </c>
      <c r="D1394" s="65">
        <v>1100</v>
      </c>
      <c r="E1394" s="66">
        <v>1100</v>
      </c>
      <c r="F1394" s="85">
        <v>45711</v>
      </c>
      <c r="G1394" s="64" t="s">
        <v>778</v>
      </c>
      <c r="H1394"/>
      <c r="I1394"/>
    </row>
    <row r="1395" spans="1:9" x14ac:dyDescent="0.35">
      <c r="A1395" s="71">
        <f t="shared" si="43"/>
        <v>136883.09999999998</v>
      </c>
      <c r="B1395" s="72">
        <f t="shared" si="42"/>
        <v>21760</v>
      </c>
      <c r="C1395" s="70">
        <v>1394</v>
      </c>
      <c r="D1395" s="65">
        <v>21760</v>
      </c>
      <c r="F1395" s="85">
        <v>45711</v>
      </c>
      <c r="G1395" s="64" t="s">
        <v>12</v>
      </c>
      <c r="H1395"/>
      <c r="I1395"/>
    </row>
    <row r="1396" spans="1:9" x14ac:dyDescent="0.35">
      <c r="A1396" s="71">
        <f t="shared" si="43"/>
        <v>136883.09999999998</v>
      </c>
      <c r="B1396" s="72">
        <f t="shared" si="42"/>
        <v>0</v>
      </c>
      <c r="C1396" s="70">
        <v>1395</v>
      </c>
      <c r="D1396" s="65">
        <v>50</v>
      </c>
      <c r="E1396" s="66">
        <v>50</v>
      </c>
      <c r="F1396" s="85">
        <v>45711</v>
      </c>
      <c r="G1396" s="64" t="s">
        <v>786</v>
      </c>
      <c r="H1396"/>
      <c r="I1396"/>
    </row>
    <row r="1397" spans="1:9" x14ac:dyDescent="0.35">
      <c r="A1397" s="71">
        <f t="shared" si="43"/>
        <v>136833.09999999998</v>
      </c>
      <c r="B1397" s="72">
        <f t="shared" si="42"/>
        <v>-50</v>
      </c>
      <c r="C1397" s="70">
        <v>1396</v>
      </c>
      <c r="E1397" s="66">
        <v>50</v>
      </c>
      <c r="F1397" s="85">
        <v>45711</v>
      </c>
      <c r="G1397" s="64" t="s">
        <v>783</v>
      </c>
      <c r="H1397"/>
      <c r="I1397"/>
    </row>
    <row r="1398" spans="1:9" x14ac:dyDescent="0.35">
      <c r="A1398" s="71">
        <f t="shared" si="43"/>
        <v>141998.09999999998</v>
      </c>
      <c r="B1398" s="72">
        <f t="shared" si="42"/>
        <v>5165</v>
      </c>
      <c r="C1398" s="70">
        <v>1397</v>
      </c>
      <c r="D1398" s="65">
        <v>5240</v>
      </c>
      <c r="E1398" s="66">
        <v>75</v>
      </c>
      <c r="F1398" s="85">
        <v>45712</v>
      </c>
      <c r="G1398" s="64" t="s">
        <v>575</v>
      </c>
      <c r="H1398"/>
      <c r="I1398"/>
    </row>
    <row r="1399" spans="1:9" x14ac:dyDescent="0.35">
      <c r="A1399" s="71">
        <f t="shared" si="43"/>
        <v>141913.09999999998</v>
      </c>
      <c r="B1399" s="72">
        <f t="shared" si="42"/>
        <v>-85</v>
      </c>
      <c r="C1399" s="70">
        <v>1398</v>
      </c>
      <c r="E1399" s="66">
        <v>85</v>
      </c>
      <c r="F1399" s="85">
        <v>45712</v>
      </c>
      <c r="G1399" s="64" t="s">
        <v>752</v>
      </c>
      <c r="H1399"/>
      <c r="I1399"/>
    </row>
    <row r="1400" spans="1:9" x14ac:dyDescent="0.35">
      <c r="A1400" s="71">
        <f t="shared" si="43"/>
        <v>140033.09999999998</v>
      </c>
      <c r="B1400" s="72">
        <f t="shared" si="42"/>
        <v>-1880</v>
      </c>
      <c r="C1400" s="70">
        <v>1399</v>
      </c>
      <c r="E1400" s="66">
        <v>1880</v>
      </c>
      <c r="F1400" s="85">
        <v>45712</v>
      </c>
      <c r="G1400" s="64" t="s">
        <v>333</v>
      </c>
      <c r="H1400"/>
      <c r="I1400"/>
    </row>
    <row r="1401" spans="1:9" x14ac:dyDescent="0.35">
      <c r="A1401" s="71">
        <f t="shared" si="43"/>
        <v>107033.09999999998</v>
      </c>
      <c r="B1401" s="72">
        <f t="shared" si="42"/>
        <v>-33000</v>
      </c>
      <c r="C1401" s="70">
        <v>1400</v>
      </c>
      <c r="E1401" s="66">
        <v>33000</v>
      </c>
      <c r="F1401" s="85">
        <v>45713</v>
      </c>
      <c r="G1401" s="64" t="s">
        <v>779</v>
      </c>
      <c r="H1401"/>
      <c r="I1401"/>
    </row>
    <row r="1402" spans="1:9" x14ac:dyDescent="0.35">
      <c r="A1402" s="71">
        <f t="shared" si="43"/>
        <v>103433.09999999998</v>
      </c>
      <c r="B1402" s="72">
        <f t="shared" si="42"/>
        <v>-3600</v>
      </c>
      <c r="C1402" s="70">
        <v>1401</v>
      </c>
      <c r="E1402" s="66">
        <v>3600</v>
      </c>
      <c r="F1402" s="85">
        <v>45713</v>
      </c>
      <c r="G1402" s="64" t="s">
        <v>174</v>
      </c>
      <c r="H1402"/>
      <c r="I1402"/>
    </row>
    <row r="1403" spans="1:9" x14ac:dyDescent="0.35">
      <c r="A1403" s="71">
        <f t="shared" si="43"/>
        <v>101413.09999999998</v>
      </c>
      <c r="B1403" s="72">
        <f t="shared" si="42"/>
        <v>-2020</v>
      </c>
      <c r="C1403" s="70">
        <v>1402</v>
      </c>
      <c r="E1403" s="66">
        <v>2020</v>
      </c>
      <c r="F1403" s="85">
        <v>45713</v>
      </c>
      <c r="G1403" s="64" t="s">
        <v>177</v>
      </c>
      <c r="H1403"/>
      <c r="I1403"/>
    </row>
    <row r="1404" spans="1:9" x14ac:dyDescent="0.35">
      <c r="A1404" s="71">
        <f t="shared" si="43"/>
        <v>100613.09999999998</v>
      </c>
      <c r="B1404" s="72">
        <f t="shared" si="42"/>
        <v>-800</v>
      </c>
      <c r="C1404" s="70">
        <v>1403</v>
      </c>
      <c r="E1404" s="66">
        <v>800</v>
      </c>
      <c r="F1404" s="85">
        <v>45713</v>
      </c>
      <c r="G1404" s="64" t="s">
        <v>780</v>
      </c>
      <c r="H1404"/>
      <c r="I1404"/>
    </row>
    <row r="1405" spans="1:9" x14ac:dyDescent="0.35">
      <c r="A1405" s="71">
        <f t="shared" si="43"/>
        <v>100672.09999999998</v>
      </c>
      <c r="B1405" s="72">
        <f t="shared" si="42"/>
        <v>59</v>
      </c>
      <c r="C1405" s="70">
        <v>1404</v>
      </c>
      <c r="D1405" s="65">
        <v>59</v>
      </c>
      <c r="F1405" s="85">
        <v>45713</v>
      </c>
      <c r="G1405" s="64" t="s">
        <v>781</v>
      </c>
      <c r="H1405"/>
      <c r="I1405"/>
    </row>
    <row r="1406" spans="1:9" x14ac:dyDescent="0.35">
      <c r="A1406" s="71">
        <f t="shared" si="43"/>
        <v>100172.09999999998</v>
      </c>
      <c r="B1406" s="72">
        <f t="shared" si="42"/>
        <v>-500</v>
      </c>
      <c r="C1406" s="70">
        <v>1405</v>
      </c>
      <c r="E1406" s="66">
        <v>500</v>
      </c>
      <c r="F1406" s="85">
        <v>45713</v>
      </c>
      <c r="G1406" s="64" t="s">
        <v>782</v>
      </c>
      <c r="H1406"/>
      <c r="I1406"/>
    </row>
    <row r="1407" spans="1:9" x14ac:dyDescent="0.35">
      <c r="A1407" s="71">
        <f t="shared" si="43"/>
        <v>31121.099999999977</v>
      </c>
      <c r="B1407" s="72">
        <f t="shared" si="42"/>
        <v>-69051</v>
      </c>
      <c r="C1407" s="70">
        <v>1406</v>
      </c>
      <c r="E1407" s="66">
        <v>69051</v>
      </c>
      <c r="F1407" s="85">
        <v>45714</v>
      </c>
      <c r="G1407" s="64" t="s">
        <v>784</v>
      </c>
      <c r="H1407"/>
      <c r="I1407"/>
    </row>
    <row r="1408" spans="1:9" x14ac:dyDescent="0.35">
      <c r="A1408" s="71">
        <f t="shared" si="43"/>
        <v>20022.099999999977</v>
      </c>
      <c r="B1408" s="72">
        <f t="shared" si="42"/>
        <v>-11099</v>
      </c>
      <c r="C1408" s="70">
        <v>1407</v>
      </c>
      <c r="E1408" s="66">
        <v>11099</v>
      </c>
      <c r="F1408" s="85">
        <v>45714</v>
      </c>
      <c r="G1408" s="64" t="s">
        <v>146</v>
      </c>
      <c r="H1408"/>
      <c r="I1408"/>
    </row>
    <row r="1409" spans="1:9" x14ac:dyDescent="0.35">
      <c r="A1409" s="71">
        <f t="shared" si="43"/>
        <v>36162.099999999977</v>
      </c>
      <c r="B1409" s="72">
        <f t="shared" si="42"/>
        <v>16140</v>
      </c>
      <c r="C1409" s="70">
        <v>1408</v>
      </c>
      <c r="D1409" s="65">
        <v>16215</v>
      </c>
      <c r="E1409" s="66">
        <v>75</v>
      </c>
      <c r="F1409" s="85">
        <v>45713</v>
      </c>
      <c r="G1409" s="64" t="s">
        <v>584</v>
      </c>
      <c r="H1409"/>
      <c r="I1409"/>
    </row>
    <row r="1410" spans="1:9" x14ac:dyDescent="0.35">
      <c r="A1410" s="71">
        <f t="shared" si="43"/>
        <v>40782.099999999977</v>
      </c>
      <c r="B1410" s="72">
        <f t="shared" si="42"/>
        <v>4620</v>
      </c>
      <c r="C1410" s="70">
        <v>1409</v>
      </c>
      <c r="D1410" s="65">
        <v>4770</v>
      </c>
      <c r="E1410" s="66">
        <v>150</v>
      </c>
      <c r="F1410" s="85">
        <v>45714</v>
      </c>
      <c r="G1410" s="64" t="s">
        <v>536</v>
      </c>
      <c r="H1410"/>
      <c r="I1410"/>
    </row>
    <row r="1411" spans="1:9" x14ac:dyDescent="0.35">
      <c r="A1411" s="71">
        <f t="shared" si="43"/>
        <v>39782.099999999977</v>
      </c>
      <c r="B1411" s="72">
        <f t="shared" ref="B1411:B1474" si="44">SUM(D1411-E1411)</f>
        <v>-1000</v>
      </c>
      <c r="C1411" s="70">
        <v>1410</v>
      </c>
      <c r="E1411" s="66">
        <v>1000</v>
      </c>
      <c r="F1411" s="85">
        <v>45714</v>
      </c>
      <c r="G1411" s="64" t="s">
        <v>486</v>
      </c>
      <c r="H1411"/>
      <c r="I1411"/>
    </row>
    <row r="1412" spans="1:9" x14ac:dyDescent="0.35">
      <c r="A1412" s="71">
        <f t="shared" ref="A1412:A1475" si="45">SUM(A1411+B1412)</f>
        <v>39777.099999999977</v>
      </c>
      <c r="B1412" s="72">
        <f t="shared" si="44"/>
        <v>-5</v>
      </c>
      <c r="C1412" s="70">
        <v>1411</v>
      </c>
      <c r="E1412" s="66">
        <v>5</v>
      </c>
      <c r="F1412" s="85">
        <v>45714</v>
      </c>
      <c r="G1412" s="64" t="s">
        <v>785</v>
      </c>
      <c r="H1412"/>
      <c r="I1412"/>
    </row>
    <row r="1413" spans="1:9" x14ac:dyDescent="0.35">
      <c r="A1413" s="71">
        <f t="shared" si="45"/>
        <v>41452.099999999977</v>
      </c>
      <c r="B1413" s="72">
        <f t="shared" si="44"/>
        <v>1675</v>
      </c>
      <c r="C1413" s="70">
        <v>1412</v>
      </c>
      <c r="D1413" s="65">
        <v>2675</v>
      </c>
      <c r="E1413" s="66">
        <v>1000</v>
      </c>
      <c r="F1413" s="85">
        <v>45715</v>
      </c>
      <c r="G1413" s="64" t="s">
        <v>222</v>
      </c>
      <c r="H1413"/>
      <c r="I1413"/>
    </row>
    <row r="1414" spans="1:9" x14ac:dyDescent="0.35">
      <c r="A1414" s="71">
        <f t="shared" si="45"/>
        <v>41352.099999999977</v>
      </c>
      <c r="B1414" s="72">
        <f t="shared" si="44"/>
        <v>-100</v>
      </c>
      <c r="C1414" s="70">
        <v>1413</v>
      </c>
      <c r="E1414" s="66">
        <v>100</v>
      </c>
      <c r="F1414" s="85">
        <v>45715</v>
      </c>
      <c r="G1414" s="64" t="s">
        <v>395</v>
      </c>
      <c r="H1414"/>
      <c r="I1414"/>
    </row>
    <row r="1415" spans="1:9" x14ac:dyDescent="0.35">
      <c r="A1415" s="71">
        <f t="shared" si="45"/>
        <v>41277.099999999977</v>
      </c>
      <c r="B1415" s="72">
        <f t="shared" si="44"/>
        <v>-75</v>
      </c>
      <c r="C1415" s="70">
        <v>1414</v>
      </c>
      <c r="E1415" s="66">
        <v>75</v>
      </c>
      <c r="F1415" s="85">
        <v>45715</v>
      </c>
      <c r="G1415" s="64" t="s">
        <v>586</v>
      </c>
      <c r="H1415"/>
      <c r="I1415"/>
    </row>
    <row r="1416" spans="1:9" x14ac:dyDescent="0.35">
      <c r="A1416" s="71">
        <f t="shared" si="45"/>
        <v>30777.099999999977</v>
      </c>
      <c r="B1416" s="72">
        <f t="shared" si="44"/>
        <v>-10500</v>
      </c>
      <c r="C1416" s="70">
        <v>1415</v>
      </c>
      <c r="E1416" s="66">
        <v>10500</v>
      </c>
      <c r="F1416" s="85">
        <v>45717</v>
      </c>
      <c r="G1416" s="64" t="s">
        <v>787</v>
      </c>
      <c r="H1416"/>
      <c r="I1416"/>
    </row>
    <row r="1417" spans="1:9" x14ac:dyDescent="0.35">
      <c r="A1417" s="71">
        <f t="shared" si="45"/>
        <v>34657.099999999977</v>
      </c>
      <c r="B1417" s="72">
        <f t="shared" si="44"/>
        <v>3880</v>
      </c>
      <c r="C1417" s="70">
        <v>1416</v>
      </c>
      <c r="D1417" s="65">
        <v>3965</v>
      </c>
      <c r="E1417" s="66">
        <v>85</v>
      </c>
      <c r="F1417" s="85">
        <v>45717</v>
      </c>
      <c r="G1417" s="64" t="s">
        <v>752</v>
      </c>
      <c r="H1417"/>
      <c r="I1417"/>
    </row>
    <row r="1418" spans="1:9" x14ac:dyDescent="0.35">
      <c r="A1418" s="71">
        <f t="shared" si="45"/>
        <v>34057.099999999977</v>
      </c>
      <c r="B1418" s="72">
        <f t="shared" si="44"/>
        <v>-600</v>
      </c>
      <c r="C1418" s="70">
        <v>1417</v>
      </c>
      <c r="E1418" s="66">
        <v>600</v>
      </c>
      <c r="F1418" s="85">
        <v>45717</v>
      </c>
      <c r="G1418" s="64" t="s">
        <v>70</v>
      </c>
      <c r="H1418"/>
      <c r="I1418"/>
    </row>
    <row r="1419" spans="1:9" x14ac:dyDescent="0.35">
      <c r="A1419" s="71">
        <f t="shared" si="45"/>
        <v>50657.099999999977</v>
      </c>
      <c r="B1419" s="72">
        <f t="shared" si="44"/>
        <v>16600</v>
      </c>
      <c r="C1419" s="70">
        <v>1418</v>
      </c>
      <c r="D1419" s="65">
        <v>16600</v>
      </c>
      <c r="F1419" s="85">
        <v>45718</v>
      </c>
      <c r="G1419" s="64" t="s">
        <v>788</v>
      </c>
      <c r="H1419"/>
      <c r="I1419"/>
    </row>
    <row r="1420" spans="1:9" x14ac:dyDescent="0.35">
      <c r="A1420" s="71">
        <f t="shared" si="45"/>
        <v>24057.099999999977</v>
      </c>
      <c r="B1420" s="72">
        <f t="shared" si="44"/>
        <v>-26600</v>
      </c>
      <c r="C1420" s="70">
        <v>1419</v>
      </c>
      <c r="E1420" s="66">
        <v>26600</v>
      </c>
      <c r="F1420" s="85">
        <v>45718</v>
      </c>
      <c r="G1420" s="64" t="s">
        <v>15</v>
      </c>
      <c r="H1420"/>
      <c r="I1420"/>
    </row>
    <row r="1421" spans="1:9" x14ac:dyDescent="0.35">
      <c r="A1421" s="71">
        <f t="shared" si="45"/>
        <v>23557.099999999977</v>
      </c>
      <c r="B1421" s="72">
        <f t="shared" si="44"/>
        <v>-500</v>
      </c>
      <c r="C1421" s="70">
        <v>1420</v>
      </c>
      <c r="E1421" s="66">
        <v>500</v>
      </c>
      <c r="F1421" s="85">
        <v>45718</v>
      </c>
      <c r="G1421" s="64" t="s">
        <v>789</v>
      </c>
      <c r="H1421"/>
      <c r="I1421"/>
    </row>
    <row r="1422" spans="1:9" x14ac:dyDescent="0.35">
      <c r="A1422" s="71">
        <f t="shared" si="45"/>
        <v>32357.099999999977</v>
      </c>
      <c r="B1422" s="72">
        <f t="shared" si="44"/>
        <v>8800</v>
      </c>
      <c r="C1422" s="70">
        <v>1421</v>
      </c>
      <c r="D1422" s="65">
        <v>8875</v>
      </c>
      <c r="E1422" s="66">
        <v>75</v>
      </c>
      <c r="F1422" s="85">
        <v>45718</v>
      </c>
      <c r="G1422" s="64" t="s">
        <v>550</v>
      </c>
      <c r="H1422"/>
      <c r="I1422"/>
    </row>
    <row r="1423" spans="1:9" x14ac:dyDescent="0.35">
      <c r="A1423" s="71">
        <f t="shared" si="45"/>
        <v>34832.099999999977</v>
      </c>
      <c r="B1423" s="72">
        <f t="shared" si="44"/>
        <v>2475</v>
      </c>
      <c r="C1423" s="70">
        <v>1422</v>
      </c>
      <c r="D1423" s="65">
        <v>2475</v>
      </c>
      <c r="F1423" s="85">
        <v>45718</v>
      </c>
      <c r="G1423" s="64" t="s">
        <v>790</v>
      </c>
      <c r="H1423"/>
      <c r="I1423"/>
    </row>
    <row r="1424" spans="1:9" x14ac:dyDescent="0.35">
      <c r="A1424" s="71">
        <f t="shared" si="45"/>
        <v>34682.099999999977</v>
      </c>
      <c r="B1424" s="72">
        <f t="shared" si="44"/>
        <v>-150</v>
      </c>
      <c r="C1424" s="70">
        <v>1423</v>
      </c>
      <c r="E1424" s="66">
        <v>150</v>
      </c>
      <c r="F1424" s="85">
        <v>45718</v>
      </c>
      <c r="G1424" s="64" t="s">
        <v>120</v>
      </c>
      <c r="H1424"/>
      <c r="I1424"/>
    </row>
    <row r="1425" spans="1:9" x14ac:dyDescent="0.35">
      <c r="A1425" s="71">
        <f t="shared" si="45"/>
        <v>33682.099999999977</v>
      </c>
      <c r="B1425" s="72">
        <f t="shared" si="44"/>
        <v>-1000</v>
      </c>
      <c r="C1425" s="70">
        <v>1424</v>
      </c>
      <c r="E1425" s="66">
        <v>1000</v>
      </c>
      <c r="F1425" s="85">
        <v>45719</v>
      </c>
      <c r="G1425" s="64" t="s">
        <v>541</v>
      </c>
      <c r="H1425"/>
      <c r="I1425"/>
    </row>
    <row r="1426" spans="1:9" x14ac:dyDescent="0.35">
      <c r="A1426" s="71">
        <f t="shared" si="45"/>
        <v>33992.099999999977</v>
      </c>
      <c r="B1426" s="72">
        <f t="shared" si="44"/>
        <v>310</v>
      </c>
      <c r="C1426" s="70">
        <v>1425</v>
      </c>
      <c r="D1426" s="65">
        <v>460</v>
      </c>
      <c r="E1426" s="66">
        <v>150</v>
      </c>
      <c r="F1426" s="85">
        <v>45719</v>
      </c>
      <c r="G1426" s="64" t="s">
        <v>447</v>
      </c>
      <c r="H1426"/>
      <c r="I1426"/>
    </row>
    <row r="1427" spans="1:9" x14ac:dyDescent="0.35">
      <c r="A1427" s="71">
        <f t="shared" si="45"/>
        <v>48302.099999999977</v>
      </c>
      <c r="B1427" s="72">
        <f t="shared" si="44"/>
        <v>14310</v>
      </c>
      <c r="C1427" s="70">
        <v>1426</v>
      </c>
      <c r="D1427" s="65">
        <v>14310</v>
      </c>
      <c r="F1427" s="85">
        <v>45720</v>
      </c>
      <c r="G1427" s="64" t="s">
        <v>12</v>
      </c>
      <c r="H1427"/>
      <c r="I1427"/>
    </row>
    <row r="1428" spans="1:9" x14ac:dyDescent="0.35">
      <c r="A1428" s="71">
        <f t="shared" si="45"/>
        <v>46802.099999999977</v>
      </c>
      <c r="B1428" s="72">
        <f t="shared" si="44"/>
        <v>-1500</v>
      </c>
      <c r="C1428" s="70">
        <v>1427</v>
      </c>
      <c r="E1428" s="66">
        <v>1500</v>
      </c>
      <c r="F1428" s="85">
        <v>45720</v>
      </c>
      <c r="G1428" s="64" t="s">
        <v>177</v>
      </c>
      <c r="H1428"/>
      <c r="I1428"/>
    </row>
    <row r="1429" spans="1:9" x14ac:dyDescent="0.35">
      <c r="A1429" s="71">
        <f t="shared" si="45"/>
        <v>46652.099999999977</v>
      </c>
      <c r="B1429" s="72">
        <f t="shared" si="44"/>
        <v>-150</v>
      </c>
      <c r="C1429" s="70">
        <v>1428</v>
      </c>
      <c r="E1429" s="66">
        <v>150</v>
      </c>
      <c r="F1429" s="85">
        <v>45721</v>
      </c>
      <c r="G1429" s="64" t="s">
        <v>452</v>
      </c>
      <c r="H1429"/>
      <c r="I1429"/>
    </row>
    <row r="1430" spans="1:9" x14ac:dyDescent="0.35">
      <c r="A1430" s="71">
        <f t="shared" si="45"/>
        <v>46567.099999999977</v>
      </c>
      <c r="B1430" s="72">
        <f t="shared" si="44"/>
        <v>-85</v>
      </c>
      <c r="C1430" s="70">
        <v>1429</v>
      </c>
      <c r="E1430" s="66">
        <v>85</v>
      </c>
      <c r="F1430" s="85">
        <v>45721</v>
      </c>
      <c r="G1430" s="64" t="s">
        <v>400</v>
      </c>
      <c r="H1430"/>
      <c r="I1430"/>
    </row>
    <row r="1431" spans="1:9" x14ac:dyDescent="0.35">
      <c r="A1431" s="71">
        <f t="shared" si="45"/>
        <v>27317.099999999977</v>
      </c>
      <c r="B1431" s="72">
        <f t="shared" si="44"/>
        <v>-19250</v>
      </c>
      <c r="C1431" s="70">
        <v>1430</v>
      </c>
      <c r="E1431" s="66">
        <v>19250</v>
      </c>
      <c r="F1431" s="85">
        <v>45721</v>
      </c>
      <c r="G1431" s="64" t="s">
        <v>17</v>
      </c>
      <c r="H1431"/>
      <c r="I1431"/>
    </row>
    <row r="1432" spans="1:9" x14ac:dyDescent="0.35">
      <c r="A1432" s="71">
        <f t="shared" si="45"/>
        <v>27057.099999999977</v>
      </c>
      <c r="B1432" s="72">
        <f t="shared" si="44"/>
        <v>-260</v>
      </c>
      <c r="C1432" s="70">
        <v>1431</v>
      </c>
      <c r="E1432" s="66">
        <v>260</v>
      </c>
      <c r="F1432" s="85">
        <v>45721</v>
      </c>
      <c r="G1432" s="64" t="s">
        <v>1</v>
      </c>
      <c r="H1432"/>
      <c r="I1432"/>
    </row>
    <row r="1433" spans="1:9" x14ac:dyDescent="0.35">
      <c r="A1433" s="71">
        <f t="shared" si="45"/>
        <v>26437.099999999977</v>
      </c>
      <c r="B1433" s="72">
        <f t="shared" si="44"/>
        <v>-620</v>
      </c>
      <c r="C1433" s="70">
        <v>1432</v>
      </c>
      <c r="E1433" s="66">
        <v>620</v>
      </c>
      <c r="F1433" s="85">
        <v>45721</v>
      </c>
      <c r="G1433" s="64" t="s">
        <v>791</v>
      </c>
      <c r="H1433"/>
      <c r="I1433"/>
    </row>
    <row r="1434" spans="1:9" x14ac:dyDescent="0.35">
      <c r="A1434" s="71">
        <f t="shared" si="45"/>
        <v>26322.099999999977</v>
      </c>
      <c r="B1434" s="72">
        <f t="shared" si="44"/>
        <v>-115</v>
      </c>
      <c r="C1434" s="70">
        <v>1433</v>
      </c>
      <c r="E1434" s="66">
        <v>115</v>
      </c>
      <c r="F1434" s="85">
        <v>45721</v>
      </c>
      <c r="G1434" s="64" t="s">
        <v>792</v>
      </c>
      <c r="H1434"/>
      <c r="I1434"/>
    </row>
    <row r="1435" spans="1:9" x14ac:dyDescent="0.35">
      <c r="A1435" s="71">
        <f t="shared" si="45"/>
        <v>49312.099999999977</v>
      </c>
      <c r="B1435" s="72">
        <f t="shared" si="44"/>
        <v>22990</v>
      </c>
      <c r="C1435" s="70">
        <v>1434</v>
      </c>
      <c r="D1435" s="65">
        <v>23040</v>
      </c>
      <c r="E1435" s="66">
        <v>50</v>
      </c>
      <c r="F1435" s="85">
        <v>45721</v>
      </c>
      <c r="G1435" s="64" t="s">
        <v>796</v>
      </c>
      <c r="H1435"/>
      <c r="I1435"/>
    </row>
    <row r="1436" spans="1:9" x14ac:dyDescent="0.35">
      <c r="A1436" s="71">
        <f t="shared" si="45"/>
        <v>49237.099999999977</v>
      </c>
      <c r="B1436" s="72">
        <f t="shared" si="44"/>
        <v>-75</v>
      </c>
      <c r="C1436" s="70">
        <v>1435</v>
      </c>
      <c r="E1436" s="66">
        <v>75</v>
      </c>
      <c r="F1436" s="85">
        <v>45721</v>
      </c>
      <c r="G1436" s="64" t="s">
        <v>554</v>
      </c>
      <c r="H1436"/>
      <c r="I1436"/>
    </row>
    <row r="1437" spans="1:9" x14ac:dyDescent="0.35">
      <c r="A1437" s="71">
        <f t="shared" si="45"/>
        <v>49242.099999999977</v>
      </c>
      <c r="B1437" s="72">
        <f t="shared" si="44"/>
        <v>5</v>
      </c>
      <c r="C1437" s="70">
        <v>1436</v>
      </c>
      <c r="D1437" s="65">
        <v>5</v>
      </c>
      <c r="F1437" s="85">
        <v>45721</v>
      </c>
      <c r="G1437" s="64" t="s">
        <v>793</v>
      </c>
      <c r="H1437"/>
      <c r="I1437"/>
    </row>
    <row r="1438" spans="1:9" x14ac:dyDescent="0.35">
      <c r="A1438" s="71">
        <f t="shared" si="45"/>
        <v>49167.099999999977</v>
      </c>
      <c r="B1438" s="72">
        <f t="shared" si="44"/>
        <v>-75</v>
      </c>
      <c r="C1438" s="70">
        <v>1437</v>
      </c>
      <c r="E1438" s="66">
        <v>75</v>
      </c>
      <c r="F1438" s="85">
        <v>45721</v>
      </c>
      <c r="G1438" s="64" t="s">
        <v>2</v>
      </c>
      <c r="H1438"/>
      <c r="I1438"/>
    </row>
    <row r="1439" spans="1:9" x14ac:dyDescent="0.35">
      <c r="A1439" s="71">
        <f t="shared" si="45"/>
        <v>48997.099999999977</v>
      </c>
      <c r="B1439" s="72">
        <f t="shared" si="44"/>
        <v>-170</v>
      </c>
      <c r="C1439" s="70">
        <v>1438</v>
      </c>
      <c r="E1439" s="66">
        <v>170</v>
      </c>
      <c r="F1439" s="85">
        <v>45721</v>
      </c>
      <c r="G1439" s="64" t="s">
        <v>400</v>
      </c>
      <c r="H1439"/>
      <c r="I1439"/>
    </row>
    <row r="1440" spans="1:9" x14ac:dyDescent="0.35">
      <c r="A1440" s="71">
        <f t="shared" si="45"/>
        <v>47647.099999999977</v>
      </c>
      <c r="B1440" s="72">
        <f t="shared" si="44"/>
        <v>-1350</v>
      </c>
      <c r="C1440" s="70">
        <v>1439</v>
      </c>
      <c r="E1440" s="66">
        <v>1350</v>
      </c>
      <c r="F1440" s="85">
        <v>45721</v>
      </c>
      <c r="G1440" s="64" t="s">
        <v>794</v>
      </c>
      <c r="H1440"/>
      <c r="I1440"/>
    </row>
    <row r="1441" spans="1:9" x14ac:dyDescent="0.35">
      <c r="A1441" s="71">
        <f t="shared" si="45"/>
        <v>47487.099999999977</v>
      </c>
      <c r="B1441" s="72">
        <f t="shared" si="44"/>
        <v>-160</v>
      </c>
      <c r="C1441" s="70">
        <v>1440</v>
      </c>
      <c r="E1441" s="66">
        <v>160</v>
      </c>
      <c r="F1441" s="85">
        <v>45721</v>
      </c>
      <c r="G1441" s="64" t="s">
        <v>795</v>
      </c>
      <c r="H1441"/>
      <c r="I1441"/>
    </row>
    <row r="1442" spans="1:9" x14ac:dyDescent="0.35">
      <c r="A1442" s="71">
        <f t="shared" si="45"/>
        <v>42317.099999999977</v>
      </c>
      <c r="B1442" s="72">
        <f t="shared" si="44"/>
        <v>-5170</v>
      </c>
      <c r="C1442" s="70">
        <v>1441</v>
      </c>
      <c r="E1442" s="66">
        <v>5170</v>
      </c>
      <c r="F1442" s="85">
        <v>45721</v>
      </c>
      <c r="G1442" s="64" t="s">
        <v>799</v>
      </c>
      <c r="H1442"/>
      <c r="I1442"/>
    </row>
    <row r="1443" spans="1:9" x14ac:dyDescent="0.35">
      <c r="A1443" s="71">
        <f t="shared" si="45"/>
        <v>42877.099999999977</v>
      </c>
      <c r="B1443" s="72">
        <f t="shared" si="44"/>
        <v>560</v>
      </c>
      <c r="C1443" s="70">
        <v>1442</v>
      </c>
      <c r="D1443" s="65">
        <v>560</v>
      </c>
      <c r="F1443" s="85">
        <v>45722</v>
      </c>
      <c r="G1443" s="64" t="s">
        <v>12</v>
      </c>
      <c r="H1443"/>
      <c r="I1443"/>
    </row>
    <row r="1444" spans="1:9" x14ac:dyDescent="0.35">
      <c r="A1444" s="71">
        <f t="shared" si="45"/>
        <v>42437.099999999977</v>
      </c>
      <c r="B1444" s="72">
        <f t="shared" si="44"/>
        <v>-440</v>
      </c>
      <c r="C1444" s="70">
        <v>1443</v>
      </c>
      <c r="D1444" s="65">
        <v>60</v>
      </c>
      <c r="E1444" s="66">
        <v>500</v>
      </c>
      <c r="F1444" s="85">
        <v>45724</v>
      </c>
      <c r="G1444" s="64" t="s">
        <v>1123</v>
      </c>
      <c r="H1444"/>
      <c r="I1444"/>
    </row>
    <row r="1445" spans="1:9" x14ac:dyDescent="0.35">
      <c r="A1445" s="71">
        <f t="shared" si="45"/>
        <v>43767.099999999977</v>
      </c>
      <c r="B1445" s="72">
        <f t="shared" si="44"/>
        <v>1330</v>
      </c>
      <c r="C1445" s="70">
        <v>1444</v>
      </c>
      <c r="D1445" s="65">
        <v>1550</v>
      </c>
      <c r="E1445" s="66">
        <v>220</v>
      </c>
      <c r="F1445" s="85">
        <v>45724</v>
      </c>
      <c r="G1445" s="64" t="s">
        <v>50</v>
      </c>
      <c r="H1445"/>
      <c r="I1445"/>
    </row>
    <row r="1446" spans="1:9" x14ac:dyDescent="0.35">
      <c r="A1446" s="71">
        <f t="shared" si="45"/>
        <v>43802.099999999977</v>
      </c>
      <c r="B1446" s="72">
        <f t="shared" si="44"/>
        <v>35</v>
      </c>
      <c r="C1446" s="70">
        <v>1445</v>
      </c>
      <c r="D1446" s="65">
        <v>35</v>
      </c>
      <c r="F1446" s="85">
        <v>45725</v>
      </c>
      <c r="G1446" s="64" t="s">
        <v>466</v>
      </c>
      <c r="H1446"/>
      <c r="I1446"/>
    </row>
    <row r="1447" spans="1:9" x14ac:dyDescent="0.35">
      <c r="A1447" s="71">
        <f t="shared" si="45"/>
        <v>57532.099999999977</v>
      </c>
      <c r="B1447" s="72">
        <f t="shared" si="44"/>
        <v>13730</v>
      </c>
      <c r="C1447" s="70">
        <v>1446</v>
      </c>
      <c r="D1447" s="65">
        <v>13730</v>
      </c>
      <c r="F1447" s="85">
        <v>45725</v>
      </c>
      <c r="G1447" s="64" t="s">
        <v>12</v>
      </c>
      <c r="H1447"/>
      <c r="I1447"/>
    </row>
    <row r="1448" spans="1:9" x14ac:dyDescent="0.35">
      <c r="A1448" s="71">
        <f t="shared" si="45"/>
        <v>57472.099999999977</v>
      </c>
      <c r="B1448" s="72">
        <f t="shared" si="44"/>
        <v>-60</v>
      </c>
      <c r="C1448" s="70">
        <v>1447</v>
      </c>
      <c r="E1448" s="66">
        <v>60</v>
      </c>
      <c r="F1448" s="85">
        <v>45725</v>
      </c>
      <c r="G1448" s="64" t="s">
        <v>797</v>
      </c>
      <c r="H1448"/>
      <c r="I1448"/>
    </row>
    <row r="1449" spans="1:9" x14ac:dyDescent="0.35">
      <c r="A1449" s="71">
        <f t="shared" si="45"/>
        <v>24793.099999999977</v>
      </c>
      <c r="B1449" s="72">
        <f t="shared" si="44"/>
        <v>-32679</v>
      </c>
      <c r="C1449" s="70">
        <v>1448</v>
      </c>
      <c r="E1449" s="66">
        <v>32679</v>
      </c>
      <c r="F1449" s="85">
        <v>45726</v>
      </c>
      <c r="G1449" s="64" t="s">
        <v>18</v>
      </c>
      <c r="H1449"/>
      <c r="I1449"/>
    </row>
    <row r="1450" spans="1:9" x14ac:dyDescent="0.35">
      <c r="A1450" s="71">
        <f t="shared" si="45"/>
        <v>40793.099999999977</v>
      </c>
      <c r="B1450" s="72">
        <f t="shared" si="44"/>
        <v>16000</v>
      </c>
      <c r="C1450" s="70">
        <v>1449</v>
      </c>
      <c r="D1450" s="65">
        <v>16000</v>
      </c>
      <c r="F1450" s="85">
        <v>45726</v>
      </c>
      <c r="G1450" s="64" t="s">
        <v>788</v>
      </c>
      <c r="H1450"/>
      <c r="I1450"/>
    </row>
    <row r="1451" spans="1:9" x14ac:dyDescent="0.35">
      <c r="A1451" s="71">
        <f t="shared" si="45"/>
        <v>25993.099999999977</v>
      </c>
      <c r="B1451" s="72">
        <f t="shared" si="44"/>
        <v>-14800</v>
      </c>
      <c r="C1451" s="70">
        <v>1450</v>
      </c>
      <c r="E1451" s="66">
        <v>14800</v>
      </c>
      <c r="F1451" s="85">
        <v>45726</v>
      </c>
      <c r="G1451" s="64" t="s">
        <v>279</v>
      </c>
      <c r="H1451"/>
      <c r="I1451"/>
    </row>
    <row r="1452" spans="1:9" x14ac:dyDescent="0.35">
      <c r="A1452" s="71">
        <f t="shared" si="45"/>
        <v>24293.099999999977</v>
      </c>
      <c r="B1452" s="72">
        <f t="shared" si="44"/>
        <v>-1700</v>
      </c>
      <c r="C1452" s="70">
        <v>1451</v>
      </c>
      <c r="E1452" s="66">
        <v>1700</v>
      </c>
      <c r="F1452" s="85">
        <v>45726</v>
      </c>
      <c r="G1452" s="64" t="s">
        <v>798</v>
      </c>
      <c r="H1452"/>
      <c r="I1452"/>
    </row>
    <row r="1453" spans="1:9" x14ac:dyDescent="0.35">
      <c r="A1453" s="71">
        <f t="shared" si="45"/>
        <v>24318.099999999977</v>
      </c>
      <c r="B1453" s="72">
        <f t="shared" si="44"/>
        <v>25</v>
      </c>
      <c r="C1453" s="70">
        <v>1452</v>
      </c>
      <c r="D1453" s="65">
        <v>25</v>
      </c>
      <c r="F1453" s="85">
        <v>45726</v>
      </c>
      <c r="H1453"/>
      <c r="I1453"/>
    </row>
    <row r="1454" spans="1:9" x14ac:dyDescent="0.35">
      <c r="A1454" s="71">
        <f t="shared" si="45"/>
        <v>25698.099999999977</v>
      </c>
      <c r="B1454" s="72">
        <f t="shared" si="44"/>
        <v>1380</v>
      </c>
      <c r="C1454" s="70">
        <v>1453</v>
      </c>
      <c r="D1454" s="65">
        <v>1730</v>
      </c>
      <c r="E1454" s="66">
        <v>350</v>
      </c>
      <c r="F1454" s="85">
        <v>45726</v>
      </c>
      <c r="G1454" s="64" t="s">
        <v>800</v>
      </c>
      <c r="H1454"/>
      <c r="I1454"/>
    </row>
    <row r="1455" spans="1:9" x14ac:dyDescent="0.35">
      <c r="A1455" s="71">
        <f t="shared" si="45"/>
        <v>25623.099999999977</v>
      </c>
      <c r="B1455" s="72">
        <f t="shared" si="44"/>
        <v>-75</v>
      </c>
      <c r="C1455" s="70">
        <v>1454</v>
      </c>
      <c r="E1455" s="66">
        <v>75</v>
      </c>
      <c r="F1455" s="85">
        <v>45726</v>
      </c>
      <c r="G1455" s="64" t="s">
        <v>459</v>
      </c>
      <c r="H1455"/>
      <c r="I1455"/>
    </row>
    <row r="1456" spans="1:9" x14ac:dyDescent="0.35">
      <c r="A1456" s="71">
        <f t="shared" si="45"/>
        <v>25538.099999999977</v>
      </c>
      <c r="B1456" s="72">
        <f t="shared" si="44"/>
        <v>-85</v>
      </c>
      <c r="C1456" s="70">
        <v>1455</v>
      </c>
      <c r="E1456" s="66">
        <v>85</v>
      </c>
      <c r="F1456" s="85">
        <v>45726</v>
      </c>
      <c r="G1456" s="64" t="s">
        <v>752</v>
      </c>
      <c r="H1456"/>
      <c r="I1456"/>
    </row>
    <row r="1457" spans="1:9" x14ac:dyDescent="0.35">
      <c r="A1457" s="71">
        <f t="shared" si="45"/>
        <v>25338.099999999977</v>
      </c>
      <c r="B1457" s="72">
        <f t="shared" si="44"/>
        <v>-200</v>
      </c>
      <c r="C1457" s="70">
        <v>1456</v>
      </c>
      <c r="E1457" s="66">
        <v>200</v>
      </c>
      <c r="F1457" s="85">
        <v>45727</v>
      </c>
      <c r="G1457" s="64" t="s">
        <v>801</v>
      </c>
      <c r="H1457"/>
      <c r="I1457"/>
    </row>
    <row r="1458" spans="1:9" x14ac:dyDescent="0.35">
      <c r="A1458" s="71">
        <f t="shared" si="45"/>
        <v>38433.099999999977</v>
      </c>
      <c r="B1458" s="72">
        <f t="shared" si="44"/>
        <v>13095</v>
      </c>
      <c r="C1458" s="70">
        <v>1457</v>
      </c>
      <c r="D1458" s="65">
        <v>13845</v>
      </c>
      <c r="E1458" s="66">
        <v>750</v>
      </c>
      <c r="F1458" s="85">
        <v>45727</v>
      </c>
      <c r="G1458" s="64" t="s">
        <v>803</v>
      </c>
      <c r="H1458"/>
      <c r="I1458"/>
    </row>
    <row r="1459" spans="1:9" x14ac:dyDescent="0.35">
      <c r="A1459" s="71">
        <f t="shared" si="45"/>
        <v>36433.099999999977</v>
      </c>
      <c r="B1459" s="72">
        <f t="shared" si="44"/>
        <v>-2000</v>
      </c>
      <c r="C1459" s="70">
        <v>1458</v>
      </c>
      <c r="E1459" s="66">
        <v>2000</v>
      </c>
      <c r="F1459" s="85">
        <v>45727</v>
      </c>
      <c r="G1459" s="64" t="s">
        <v>802</v>
      </c>
      <c r="H1459"/>
      <c r="I1459"/>
    </row>
    <row r="1460" spans="1:9" x14ac:dyDescent="0.35">
      <c r="A1460" s="71">
        <f t="shared" si="45"/>
        <v>36358.099999999977</v>
      </c>
      <c r="B1460" s="72">
        <f t="shared" si="44"/>
        <v>-75</v>
      </c>
      <c r="C1460" s="70">
        <v>1459</v>
      </c>
      <c r="E1460" s="66">
        <v>75</v>
      </c>
      <c r="F1460" s="85">
        <v>45728</v>
      </c>
      <c r="G1460" s="64" t="s">
        <v>470</v>
      </c>
      <c r="H1460"/>
      <c r="I1460"/>
    </row>
    <row r="1461" spans="1:9" x14ac:dyDescent="0.35">
      <c r="A1461" s="71">
        <f t="shared" si="45"/>
        <v>36168.099999999977</v>
      </c>
      <c r="B1461" s="72">
        <f t="shared" si="44"/>
        <v>-190</v>
      </c>
      <c r="C1461" s="70">
        <v>1460</v>
      </c>
      <c r="E1461" s="66">
        <v>190</v>
      </c>
      <c r="F1461" s="85">
        <v>45728</v>
      </c>
      <c r="G1461" s="64" t="s">
        <v>793</v>
      </c>
      <c r="H1461"/>
      <c r="I1461"/>
    </row>
    <row r="1462" spans="1:9" x14ac:dyDescent="0.35">
      <c r="A1462" s="71">
        <f t="shared" si="45"/>
        <v>36048.099999999977</v>
      </c>
      <c r="B1462" s="72">
        <f t="shared" si="44"/>
        <v>-120</v>
      </c>
      <c r="C1462" s="70">
        <v>1461</v>
      </c>
      <c r="E1462" s="66">
        <v>120</v>
      </c>
      <c r="F1462" s="85">
        <v>45728</v>
      </c>
      <c r="G1462" s="64" t="s">
        <v>804</v>
      </c>
      <c r="H1462"/>
      <c r="I1462"/>
    </row>
    <row r="1463" spans="1:9" x14ac:dyDescent="0.35">
      <c r="A1463" s="71">
        <f t="shared" si="45"/>
        <v>40118.099999999977</v>
      </c>
      <c r="B1463" s="72">
        <f t="shared" si="44"/>
        <v>4070</v>
      </c>
      <c r="C1463" s="70">
        <v>1462</v>
      </c>
      <c r="D1463" s="65">
        <v>4295</v>
      </c>
      <c r="E1463" s="66">
        <v>225</v>
      </c>
      <c r="F1463" s="85">
        <v>45728</v>
      </c>
      <c r="G1463" s="64" t="s">
        <v>701</v>
      </c>
      <c r="H1463"/>
      <c r="I1463"/>
    </row>
    <row r="1464" spans="1:9" x14ac:dyDescent="0.35">
      <c r="A1464" s="71">
        <f t="shared" si="45"/>
        <v>39668.099999999977</v>
      </c>
      <c r="B1464" s="72">
        <f t="shared" si="44"/>
        <v>-450</v>
      </c>
      <c r="C1464" s="70">
        <v>1463</v>
      </c>
      <c r="E1464" s="66">
        <v>450</v>
      </c>
      <c r="F1464" s="85">
        <v>45728</v>
      </c>
      <c r="G1464" s="64" t="s">
        <v>805</v>
      </c>
      <c r="H1464"/>
      <c r="I1464"/>
    </row>
    <row r="1465" spans="1:9" x14ac:dyDescent="0.35">
      <c r="A1465" s="71">
        <f t="shared" si="45"/>
        <v>39631.099999999977</v>
      </c>
      <c r="B1465" s="72">
        <f t="shared" si="44"/>
        <v>-37</v>
      </c>
      <c r="C1465" s="70">
        <v>1464</v>
      </c>
      <c r="E1465" s="66">
        <v>37</v>
      </c>
      <c r="F1465" s="85">
        <v>45728</v>
      </c>
      <c r="G1465" s="64" t="s">
        <v>99</v>
      </c>
      <c r="H1465"/>
      <c r="I1465"/>
    </row>
    <row r="1466" spans="1:9" x14ac:dyDescent="0.35">
      <c r="A1466" s="71">
        <f t="shared" si="45"/>
        <v>39431.099999999977</v>
      </c>
      <c r="B1466" s="72">
        <f t="shared" si="44"/>
        <v>-200</v>
      </c>
      <c r="C1466" s="70">
        <v>1465</v>
      </c>
      <c r="E1466" s="66">
        <v>200</v>
      </c>
      <c r="F1466" s="85">
        <v>45728</v>
      </c>
      <c r="G1466" s="64" t="s">
        <v>811</v>
      </c>
      <c r="H1466"/>
      <c r="I1466"/>
    </row>
    <row r="1467" spans="1:9" x14ac:dyDescent="0.35">
      <c r="A1467" s="71">
        <f t="shared" si="45"/>
        <v>39291.099999999977</v>
      </c>
      <c r="B1467" s="72">
        <f t="shared" si="44"/>
        <v>-140</v>
      </c>
      <c r="C1467" s="70">
        <v>1466</v>
      </c>
      <c r="E1467" s="66">
        <v>140</v>
      </c>
      <c r="F1467" s="85">
        <v>45728</v>
      </c>
      <c r="G1467" s="64" t="s">
        <v>806</v>
      </c>
      <c r="H1467"/>
      <c r="I1467"/>
    </row>
    <row r="1468" spans="1:9" x14ac:dyDescent="0.35">
      <c r="A1468" s="71">
        <f t="shared" si="45"/>
        <v>39796.099999999977</v>
      </c>
      <c r="B1468" s="72">
        <f t="shared" si="44"/>
        <v>505</v>
      </c>
      <c r="C1468" s="70">
        <v>1467</v>
      </c>
      <c r="D1468" s="65">
        <v>755</v>
      </c>
      <c r="E1468" s="66">
        <v>250</v>
      </c>
      <c r="F1468" s="85">
        <v>45729</v>
      </c>
      <c r="G1468" s="64" t="s">
        <v>814</v>
      </c>
      <c r="H1468"/>
      <c r="I1468"/>
    </row>
    <row r="1469" spans="1:9" x14ac:dyDescent="0.35">
      <c r="A1469" s="71">
        <f t="shared" si="45"/>
        <v>39726.099999999977</v>
      </c>
      <c r="B1469" s="72">
        <f t="shared" si="44"/>
        <v>-70</v>
      </c>
      <c r="C1469" s="70">
        <v>1468</v>
      </c>
      <c r="E1469" s="66">
        <v>70</v>
      </c>
      <c r="F1469" s="85">
        <v>45729</v>
      </c>
      <c r="G1469" s="64" t="s">
        <v>808</v>
      </c>
      <c r="H1469"/>
      <c r="I1469"/>
    </row>
    <row r="1470" spans="1:9" x14ac:dyDescent="0.35">
      <c r="A1470" s="71">
        <f t="shared" si="45"/>
        <v>39556.099999999977</v>
      </c>
      <c r="B1470" s="72">
        <f t="shared" si="44"/>
        <v>-170</v>
      </c>
      <c r="C1470" s="70">
        <v>1469</v>
      </c>
      <c r="E1470" s="66">
        <v>170</v>
      </c>
      <c r="F1470" s="85">
        <v>45729</v>
      </c>
      <c r="G1470" s="64" t="s">
        <v>752</v>
      </c>
      <c r="H1470"/>
      <c r="I1470"/>
    </row>
    <row r="1471" spans="1:9" x14ac:dyDescent="0.35">
      <c r="A1471" s="71">
        <f t="shared" si="45"/>
        <v>39331.099999999977</v>
      </c>
      <c r="B1471" s="72">
        <f t="shared" si="44"/>
        <v>-225</v>
      </c>
      <c r="C1471" s="70">
        <v>1470</v>
      </c>
      <c r="E1471" s="66">
        <v>225</v>
      </c>
      <c r="F1471" s="85">
        <v>45729</v>
      </c>
      <c r="G1471" s="64" t="s">
        <v>485</v>
      </c>
      <c r="H1471"/>
      <c r="I1471"/>
    </row>
    <row r="1472" spans="1:9" x14ac:dyDescent="0.35">
      <c r="A1472" s="71">
        <f t="shared" si="45"/>
        <v>37451.099999999977</v>
      </c>
      <c r="B1472" s="72">
        <f t="shared" si="44"/>
        <v>-1880</v>
      </c>
      <c r="C1472" s="70">
        <v>1471</v>
      </c>
      <c r="E1472" s="66">
        <v>1880</v>
      </c>
      <c r="F1472" s="85">
        <v>45731</v>
      </c>
      <c r="G1472" s="64" t="s">
        <v>807</v>
      </c>
      <c r="H1472"/>
      <c r="I1472"/>
    </row>
    <row r="1473" spans="1:9" x14ac:dyDescent="0.35">
      <c r="A1473" s="71">
        <f t="shared" si="45"/>
        <v>40356.099999999977</v>
      </c>
      <c r="B1473" s="72">
        <f t="shared" si="44"/>
        <v>2905</v>
      </c>
      <c r="C1473" s="70">
        <v>1472</v>
      </c>
      <c r="D1473" s="65">
        <v>3405</v>
      </c>
      <c r="E1473" s="66">
        <v>500</v>
      </c>
      <c r="F1473" s="85">
        <v>45731</v>
      </c>
      <c r="G1473" s="64" t="s">
        <v>809</v>
      </c>
      <c r="H1473"/>
      <c r="I1473"/>
    </row>
    <row r="1474" spans="1:9" x14ac:dyDescent="0.35">
      <c r="A1474" s="71">
        <f t="shared" si="45"/>
        <v>40056.099999999977</v>
      </c>
      <c r="B1474" s="72">
        <f t="shared" si="44"/>
        <v>-300</v>
      </c>
      <c r="C1474" s="70">
        <v>1473</v>
      </c>
      <c r="E1474" s="66">
        <v>300</v>
      </c>
      <c r="F1474" s="85">
        <v>45731</v>
      </c>
      <c r="G1474" s="64" t="s">
        <v>810</v>
      </c>
      <c r="H1474"/>
      <c r="I1474"/>
    </row>
    <row r="1475" spans="1:9" x14ac:dyDescent="0.35">
      <c r="A1475" s="71">
        <f t="shared" si="45"/>
        <v>40021.099999999977</v>
      </c>
      <c r="B1475" s="72">
        <f t="shared" ref="B1475:B1538" si="46">SUM(D1475-E1475)</f>
        <v>-35</v>
      </c>
      <c r="C1475" s="70">
        <v>1474</v>
      </c>
      <c r="E1475" s="66">
        <v>35</v>
      </c>
      <c r="F1475" s="85">
        <v>45731</v>
      </c>
      <c r="G1475" s="64" t="s">
        <v>253</v>
      </c>
      <c r="H1475"/>
      <c r="I1475"/>
    </row>
    <row r="1476" spans="1:9" x14ac:dyDescent="0.35">
      <c r="A1476" s="71">
        <f t="shared" ref="A1476:A1539" si="47">SUM(A1475+B1476)</f>
        <v>39997.099999999977</v>
      </c>
      <c r="B1476" s="72">
        <f t="shared" si="46"/>
        <v>-24</v>
      </c>
      <c r="C1476" s="70">
        <v>1475</v>
      </c>
      <c r="E1476" s="66">
        <v>24</v>
      </c>
      <c r="F1476" s="85">
        <v>45731</v>
      </c>
      <c r="G1476" s="64" t="s">
        <v>36</v>
      </c>
      <c r="H1476"/>
      <c r="I1476"/>
    </row>
    <row r="1477" spans="1:9" x14ac:dyDescent="0.35">
      <c r="A1477" s="71">
        <f t="shared" si="47"/>
        <v>39742.099999999977</v>
      </c>
      <c r="B1477" s="72">
        <f t="shared" si="46"/>
        <v>-255</v>
      </c>
      <c r="C1477" s="70">
        <v>1476</v>
      </c>
      <c r="E1477" s="66">
        <v>255</v>
      </c>
      <c r="F1477" s="85">
        <v>45731</v>
      </c>
      <c r="G1477" s="64" t="s">
        <v>752</v>
      </c>
      <c r="H1477"/>
      <c r="I1477"/>
    </row>
    <row r="1478" spans="1:9" x14ac:dyDescent="0.35">
      <c r="A1478" s="71">
        <f t="shared" si="47"/>
        <v>45362.099999999977</v>
      </c>
      <c r="B1478" s="72">
        <f t="shared" si="46"/>
        <v>5620</v>
      </c>
      <c r="C1478" s="70">
        <v>1477</v>
      </c>
      <c r="D1478" s="65">
        <v>10520</v>
      </c>
      <c r="E1478" s="66">
        <v>4900</v>
      </c>
      <c r="F1478" s="85">
        <v>45732</v>
      </c>
      <c r="G1478" s="64" t="s">
        <v>836</v>
      </c>
      <c r="H1478"/>
      <c r="I1478"/>
    </row>
    <row r="1479" spans="1:9" x14ac:dyDescent="0.35">
      <c r="A1479" s="71">
        <f t="shared" si="47"/>
        <v>46982.099999999977</v>
      </c>
      <c r="B1479" s="72">
        <f t="shared" si="46"/>
        <v>1620</v>
      </c>
      <c r="C1479" s="70">
        <v>1478</v>
      </c>
      <c r="D1479" s="65">
        <v>1620</v>
      </c>
      <c r="F1479" s="85">
        <v>45732</v>
      </c>
      <c r="G1479" s="64" t="s">
        <v>812</v>
      </c>
      <c r="H1479"/>
      <c r="I1479"/>
    </row>
    <row r="1480" spans="1:9" x14ac:dyDescent="0.35">
      <c r="A1480" s="71">
        <f t="shared" si="47"/>
        <v>46682.099999999977</v>
      </c>
      <c r="B1480" s="72">
        <f t="shared" si="46"/>
        <v>-300</v>
      </c>
      <c r="C1480" s="70">
        <v>1479</v>
      </c>
      <c r="E1480" s="66">
        <v>300</v>
      </c>
      <c r="F1480" s="85">
        <v>45732</v>
      </c>
      <c r="G1480" s="64" t="s">
        <v>70</v>
      </c>
      <c r="H1480"/>
      <c r="I1480"/>
    </row>
    <row r="1481" spans="1:9" x14ac:dyDescent="0.35">
      <c r="A1481" s="71">
        <f t="shared" si="47"/>
        <v>46532.099999999977</v>
      </c>
      <c r="B1481" s="72">
        <f t="shared" si="46"/>
        <v>-150</v>
      </c>
      <c r="C1481" s="70">
        <v>1480</v>
      </c>
      <c r="E1481" s="66">
        <v>150</v>
      </c>
      <c r="F1481" s="85">
        <v>45732</v>
      </c>
      <c r="G1481" s="64" t="s">
        <v>626</v>
      </c>
      <c r="H1481"/>
      <c r="I1481"/>
    </row>
    <row r="1482" spans="1:9" x14ac:dyDescent="0.35">
      <c r="A1482" s="71">
        <f t="shared" si="47"/>
        <v>44926.099999999977</v>
      </c>
      <c r="B1482" s="72">
        <f t="shared" si="46"/>
        <v>-1606</v>
      </c>
      <c r="C1482" s="70">
        <v>1481</v>
      </c>
      <c r="E1482" s="66">
        <v>1606</v>
      </c>
      <c r="F1482" s="85">
        <v>45732</v>
      </c>
      <c r="G1482" s="64" t="s">
        <v>813</v>
      </c>
      <c r="H1482"/>
      <c r="I1482"/>
    </row>
    <row r="1483" spans="1:9" x14ac:dyDescent="0.35">
      <c r="A1483" s="71">
        <f t="shared" si="47"/>
        <v>45991.099999999977</v>
      </c>
      <c r="B1483" s="72">
        <f t="shared" si="46"/>
        <v>1065</v>
      </c>
      <c r="C1483" s="70">
        <v>1482</v>
      </c>
      <c r="D1483" s="65">
        <v>1165</v>
      </c>
      <c r="E1483" s="66">
        <v>100</v>
      </c>
      <c r="F1483" s="85">
        <v>45733</v>
      </c>
      <c r="G1483" s="64" t="s">
        <v>815</v>
      </c>
      <c r="H1483"/>
      <c r="I1483"/>
    </row>
    <row r="1484" spans="1:9" x14ac:dyDescent="0.35">
      <c r="A1484" s="71">
        <f t="shared" si="47"/>
        <v>45906.099999999977</v>
      </c>
      <c r="B1484" s="72">
        <f t="shared" si="46"/>
        <v>-85</v>
      </c>
      <c r="C1484" s="70">
        <v>1483</v>
      </c>
      <c r="E1484" s="66">
        <v>85</v>
      </c>
      <c r="F1484" s="85">
        <v>45733</v>
      </c>
      <c r="G1484" s="64" t="s">
        <v>400</v>
      </c>
      <c r="H1484"/>
      <c r="I1484"/>
    </row>
    <row r="1485" spans="1:9" x14ac:dyDescent="0.35">
      <c r="A1485" s="71">
        <f t="shared" si="47"/>
        <v>59726.099999999977</v>
      </c>
      <c r="B1485" s="72">
        <f t="shared" si="46"/>
        <v>13820</v>
      </c>
      <c r="C1485" s="70">
        <v>1484</v>
      </c>
      <c r="D1485" s="65">
        <v>13820</v>
      </c>
      <c r="F1485" s="85">
        <v>45734</v>
      </c>
      <c r="G1485" s="64" t="s">
        <v>12</v>
      </c>
      <c r="H1485"/>
      <c r="I1485"/>
    </row>
    <row r="1486" spans="1:9" x14ac:dyDescent="0.35">
      <c r="A1486" s="71">
        <f t="shared" si="47"/>
        <v>59646.099999999977</v>
      </c>
      <c r="B1486" s="72">
        <f t="shared" si="46"/>
        <v>-80</v>
      </c>
      <c r="C1486" s="70">
        <v>1485</v>
      </c>
      <c r="E1486" s="66">
        <v>80</v>
      </c>
      <c r="F1486" s="85">
        <v>45734</v>
      </c>
      <c r="G1486" s="64" t="s">
        <v>816</v>
      </c>
      <c r="H1486"/>
      <c r="I1486"/>
    </row>
    <row r="1487" spans="1:9" x14ac:dyDescent="0.35">
      <c r="A1487" s="71">
        <f t="shared" si="47"/>
        <v>58246.099999999977</v>
      </c>
      <c r="B1487" s="72">
        <f t="shared" si="46"/>
        <v>-1400</v>
      </c>
      <c r="C1487" s="70">
        <v>1486</v>
      </c>
      <c r="E1487" s="66">
        <v>1400</v>
      </c>
      <c r="F1487" s="85">
        <v>45734</v>
      </c>
      <c r="G1487" s="64" t="s">
        <v>821</v>
      </c>
      <c r="H1487"/>
      <c r="I1487"/>
    </row>
    <row r="1488" spans="1:9" x14ac:dyDescent="0.35">
      <c r="A1488" s="71">
        <f t="shared" si="47"/>
        <v>58096.099999999977</v>
      </c>
      <c r="B1488" s="72">
        <f t="shared" si="46"/>
        <v>-150</v>
      </c>
      <c r="C1488" s="70">
        <v>1487</v>
      </c>
      <c r="E1488" s="66">
        <v>150</v>
      </c>
      <c r="F1488" s="85">
        <v>45734</v>
      </c>
      <c r="G1488" s="64" t="s">
        <v>491</v>
      </c>
      <c r="H1488"/>
      <c r="I1488"/>
    </row>
    <row r="1489" spans="1:9" x14ac:dyDescent="0.35">
      <c r="A1489" s="71">
        <f t="shared" si="47"/>
        <v>58196.099999999977</v>
      </c>
      <c r="B1489" s="72">
        <f t="shared" si="46"/>
        <v>100</v>
      </c>
      <c r="C1489" s="70">
        <v>1488</v>
      </c>
      <c r="D1489" s="65">
        <v>100</v>
      </c>
      <c r="F1489" s="85">
        <v>45734</v>
      </c>
      <c r="G1489" s="64" t="s">
        <v>817</v>
      </c>
      <c r="H1489"/>
      <c r="I1489"/>
    </row>
    <row r="1490" spans="1:9" x14ac:dyDescent="0.35">
      <c r="A1490" s="71">
        <f t="shared" si="47"/>
        <v>56361.099999999977</v>
      </c>
      <c r="B1490" s="72">
        <f t="shared" si="46"/>
        <v>-1835</v>
      </c>
      <c r="C1490" s="70">
        <v>1489</v>
      </c>
      <c r="E1490" s="66">
        <v>1835</v>
      </c>
      <c r="F1490" s="85">
        <v>45734</v>
      </c>
      <c r="G1490" s="64" t="s">
        <v>818</v>
      </c>
      <c r="H1490"/>
      <c r="I1490"/>
    </row>
    <row r="1491" spans="1:9" x14ac:dyDescent="0.35">
      <c r="A1491" s="71">
        <f t="shared" si="47"/>
        <v>55281.099999999977</v>
      </c>
      <c r="B1491" s="72">
        <f t="shared" si="46"/>
        <v>-1080</v>
      </c>
      <c r="C1491" s="70">
        <v>1490</v>
      </c>
      <c r="E1491" s="66">
        <v>1080</v>
      </c>
      <c r="F1491" s="85">
        <v>45735</v>
      </c>
      <c r="G1491" s="64" t="s">
        <v>840</v>
      </c>
      <c r="H1491"/>
      <c r="I1491"/>
    </row>
    <row r="1492" spans="1:9" x14ac:dyDescent="0.35">
      <c r="A1492" s="71">
        <f t="shared" si="47"/>
        <v>46056.099999999977</v>
      </c>
      <c r="B1492" s="72">
        <f t="shared" si="46"/>
        <v>-9225</v>
      </c>
      <c r="C1492" s="70">
        <v>1491</v>
      </c>
      <c r="E1492" s="66">
        <v>9225</v>
      </c>
      <c r="F1492" s="85">
        <v>45735</v>
      </c>
      <c r="G1492" s="64" t="s">
        <v>819</v>
      </c>
      <c r="H1492"/>
      <c r="I1492"/>
    </row>
    <row r="1493" spans="1:9" x14ac:dyDescent="0.35">
      <c r="A1493" s="71">
        <f t="shared" si="47"/>
        <v>45816.099999999977</v>
      </c>
      <c r="B1493" s="72">
        <f t="shared" si="46"/>
        <v>-240</v>
      </c>
      <c r="C1493" s="70">
        <v>1492</v>
      </c>
      <c r="E1493" s="66">
        <v>240</v>
      </c>
      <c r="F1493" s="85">
        <v>45735</v>
      </c>
      <c r="G1493" s="64" t="s">
        <v>820</v>
      </c>
      <c r="H1493"/>
      <c r="I1493"/>
    </row>
    <row r="1494" spans="1:9" x14ac:dyDescent="0.35">
      <c r="A1494" s="71">
        <f t="shared" si="47"/>
        <v>63306.099999999977</v>
      </c>
      <c r="B1494" s="72">
        <f t="shared" si="46"/>
        <v>17490</v>
      </c>
      <c r="C1494" s="70">
        <v>1493</v>
      </c>
      <c r="D1494" s="65">
        <v>17565</v>
      </c>
      <c r="E1494" s="66">
        <v>75</v>
      </c>
      <c r="F1494" s="85">
        <v>45735</v>
      </c>
      <c r="G1494" s="64" t="s">
        <v>497</v>
      </c>
      <c r="H1494"/>
      <c r="I1494"/>
    </row>
    <row r="1495" spans="1:9" x14ac:dyDescent="0.35">
      <c r="A1495" s="71">
        <f t="shared" si="47"/>
        <v>66066.099999999977</v>
      </c>
      <c r="B1495" s="72">
        <f t="shared" si="46"/>
        <v>2760</v>
      </c>
      <c r="C1495" s="70">
        <v>1494</v>
      </c>
      <c r="D1495" s="65">
        <v>2760</v>
      </c>
      <c r="F1495" s="85">
        <v>45736</v>
      </c>
      <c r="G1495" s="64" t="s">
        <v>12</v>
      </c>
      <c r="H1495"/>
      <c r="I1495"/>
    </row>
    <row r="1496" spans="1:9" x14ac:dyDescent="0.35">
      <c r="A1496" s="71">
        <f t="shared" si="47"/>
        <v>68331.099999999977</v>
      </c>
      <c r="B1496" s="72">
        <f t="shared" si="46"/>
        <v>2265</v>
      </c>
      <c r="C1496" s="70">
        <v>1495</v>
      </c>
      <c r="D1496" s="65">
        <v>2505</v>
      </c>
      <c r="E1496" s="66">
        <v>240</v>
      </c>
      <c r="F1496" s="85">
        <v>45738</v>
      </c>
      <c r="G1496" s="64" t="s">
        <v>50</v>
      </c>
      <c r="H1496"/>
      <c r="I1496"/>
    </row>
    <row r="1497" spans="1:9" x14ac:dyDescent="0.35">
      <c r="A1497" s="71">
        <f t="shared" si="47"/>
        <v>68251.099999999977</v>
      </c>
      <c r="B1497" s="72">
        <f t="shared" si="46"/>
        <v>-80</v>
      </c>
      <c r="C1497" s="70">
        <v>1496</v>
      </c>
      <c r="E1497" s="66">
        <v>80</v>
      </c>
      <c r="F1497" s="85">
        <v>45738</v>
      </c>
      <c r="G1497" s="64" t="s">
        <v>839</v>
      </c>
      <c r="H1497"/>
      <c r="I1497"/>
    </row>
    <row r="1498" spans="1:9" x14ac:dyDescent="0.35">
      <c r="A1498" s="71">
        <f t="shared" si="47"/>
        <v>68123.099999999977</v>
      </c>
      <c r="B1498" s="72">
        <f t="shared" si="46"/>
        <v>-128</v>
      </c>
      <c r="C1498" s="70">
        <v>1497</v>
      </c>
      <c r="E1498" s="66">
        <v>128</v>
      </c>
      <c r="F1498" s="85">
        <v>45738</v>
      </c>
      <c r="G1498" s="64" t="s">
        <v>65</v>
      </c>
      <c r="H1498"/>
      <c r="I1498"/>
    </row>
    <row r="1499" spans="1:9" x14ac:dyDescent="0.35">
      <c r="A1499" s="71">
        <f t="shared" si="47"/>
        <v>68048.099999999977</v>
      </c>
      <c r="B1499" s="72">
        <f t="shared" si="46"/>
        <v>-75</v>
      </c>
      <c r="C1499" s="70">
        <v>1498</v>
      </c>
      <c r="E1499" s="66">
        <v>75</v>
      </c>
      <c r="F1499" s="85">
        <v>45738</v>
      </c>
      <c r="G1499" s="64" t="s">
        <v>715</v>
      </c>
      <c r="H1499"/>
      <c r="I1499"/>
    </row>
    <row r="1500" spans="1:9" x14ac:dyDescent="0.35">
      <c r="A1500" s="71">
        <f t="shared" si="47"/>
        <v>93413.099999999977</v>
      </c>
      <c r="B1500" s="72">
        <f t="shared" si="46"/>
        <v>25365</v>
      </c>
      <c r="C1500" s="70">
        <v>1499</v>
      </c>
      <c r="D1500" s="65">
        <v>25365</v>
      </c>
      <c r="F1500" s="85">
        <v>45739</v>
      </c>
      <c r="G1500" s="64" t="s">
        <v>12</v>
      </c>
      <c r="H1500"/>
      <c r="I1500"/>
    </row>
    <row r="1501" spans="1:9" x14ac:dyDescent="0.35">
      <c r="A1501" s="71">
        <f t="shared" si="47"/>
        <v>93338.099999999977</v>
      </c>
      <c r="B1501" s="72">
        <f t="shared" si="46"/>
        <v>-75</v>
      </c>
      <c r="C1501" s="70">
        <v>1500</v>
      </c>
      <c r="E1501" s="66">
        <v>75</v>
      </c>
      <c r="F1501" s="85">
        <v>45739</v>
      </c>
      <c r="G1501" s="64" t="s">
        <v>631</v>
      </c>
      <c r="H1501"/>
      <c r="I1501"/>
    </row>
    <row r="1502" spans="1:9" x14ac:dyDescent="0.35">
      <c r="A1502" s="71">
        <f t="shared" si="47"/>
        <v>89738.099999999977</v>
      </c>
      <c r="B1502" s="72">
        <f t="shared" si="46"/>
        <v>-3600</v>
      </c>
      <c r="C1502" s="70">
        <v>1501</v>
      </c>
      <c r="E1502" s="66">
        <v>3600</v>
      </c>
      <c r="F1502" s="85">
        <v>45739</v>
      </c>
      <c r="G1502" s="64" t="s">
        <v>174</v>
      </c>
      <c r="H1502"/>
      <c r="I1502"/>
    </row>
    <row r="1503" spans="1:9" x14ac:dyDescent="0.35">
      <c r="A1503" s="71">
        <f t="shared" si="47"/>
        <v>87738.099999999977</v>
      </c>
      <c r="B1503" s="72">
        <f t="shared" si="46"/>
        <v>-2000</v>
      </c>
      <c r="C1503" s="70">
        <v>1502</v>
      </c>
      <c r="E1503" s="66">
        <v>2000</v>
      </c>
      <c r="F1503" s="85">
        <v>45739</v>
      </c>
      <c r="G1503" s="64" t="s">
        <v>823</v>
      </c>
      <c r="H1503"/>
      <c r="I1503"/>
    </row>
    <row r="1504" spans="1:9" x14ac:dyDescent="0.35">
      <c r="A1504" s="71">
        <f t="shared" si="47"/>
        <v>87378.099999999977</v>
      </c>
      <c r="B1504" s="72">
        <f t="shared" si="46"/>
        <v>-360</v>
      </c>
      <c r="C1504" s="70">
        <v>1503</v>
      </c>
      <c r="E1504" s="66">
        <v>360</v>
      </c>
      <c r="F1504" s="85">
        <v>45739</v>
      </c>
      <c r="G1504" s="64" t="s">
        <v>822</v>
      </c>
      <c r="H1504"/>
      <c r="I1504"/>
    </row>
    <row r="1505" spans="1:9" x14ac:dyDescent="0.35">
      <c r="A1505" s="71">
        <f t="shared" si="47"/>
        <v>91378.099999999977</v>
      </c>
      <c r="B1505" s="72">
        <f t="shared" si="46"/>
        <v>4000</v>
      </c>
      <c r="C1505" s="70">
        <v>1504</v>
      </c>
      <c r="D1505" s="65">
        <v>4150</v>
      </c>
      <c r="E1505" s="66">
        <v>150</v>
      </c>
      <c r="F1505" s="85">
        <v>45740</v>
      </c>
      <c r="G1505" s="64" t="s">
        <v>500</v>
      </c>
      <c r="H1505"/>
      <c r="I1505"/>
    </row>
    <row r="1506" spans="1:9" x14ac:dyDescent="0.35">
      <c r="A1506" s="71">
        <f t="shared" si="47"/>
        <v>91410.099999999977</v>
      </c>
      <c r="B1506" s="72">
        <f t="shared" si="46"/>
        <v>32</v>
      </c>
      <c r="C1506" s="70">
        <v>1505</v>
      </c>
      <c r="D1506" s="65">
        <v>32</v>
      </c>
      <c r="F1506" s="85">
        <v>45741</v>
      </c>
      <c r="G1506" s="64" t="s">
        <v>824</v>
      </c>
      <c r="H1506"/>
      <c r="I1506"/>
    </row>
    <row r="1507" spans="1:9" x14ac:dyDescent="0.35">
      <c r="A1507" s="71">
        <f t="shared" si="47"/>
        <v>116005.09999999998</v>
      </c>
      <c r="B1507" s="72">
        <f t="shared" si="46"/>
        <v>24595</v>
      </c>
      <c r="C1507" s="70">
        <v>1506</v>
      </c>
      <c r="D1507" s="65">
        <v>24595</v>
      </c>
      <c r="F1507" s="85">
        <v>45741</v>
      </c>
      <c r="G1507" s="64" t="s">
        <v>12</v>
      </c>
      <c r="H1507"/>
      <c r="I1507"/>
    </row>
    <row r="1508" spans="1:9" x14ac:dyDescent="0.35">
      <c r="A1508" s="71">
        <f t="shared" si="47"/>
        <v>115505.09999999998</v>
      </c>
      <c r="B1508" s="72">
        <f t="shared" si="46"/>
        <v>-500</v>
      </c>
      <c r="C1508" s="70">
        <v>1507</v>
      </c>
      <c r="E1508" s="66">
        <v>500</v>
      </c>
      <c r="F1508" s="85">
        <v>45741</v>
      </c>
      <c r="G1508" s="64" t="s">
        <v>825</v>
      </c>
      <c r="H1508"/>
      <c r="I1508"/>
    </row>
    <row r="1509" spans="1:9" x14ac:dyDescent="0.35">
      <c r="A1509" s="71">
        <f t="shared" si="47"/>
        <v>115271.09999999998</v>
      </c>
      <c r="B1509" s="72">
        <f t="shared" si="46"/>
        <v>-234</v>
      </c>
      <c r="C1509" s="70">
        <v>1508</v>
      </c>
      <c r="E1509" s="66">
        <v>234</v>
      </c>
      <c r="F1509" s="85">
        <v>45741</v>
      </c>
      <c r="G1509" s="64" t="s">
        <v>828</v>
      </c>
      <c r="H1509"/>
      <c r="I1509"/>
    </row>
    <row r="1510" spans="1:9" x14ac:dyDescent="0.35">
      <c r="A1510" s="71">
        <f t="shared" si="47"/>
        <v>114971.09999999998</v>
      </c>
      <c r="B1510" s="72">
        <f t="shared" si="46"/>
        <v>-300</v>
      </c>
      <c r="C1510" s="70">
        <v>1509</v>
      </c>
      <c r="E1510" s="66">
        <v>300</v>
      </c>
      <c r="F1510" s="85">
        <v>45741</v>
      </c>
      <c r="G1510" s="64" t="s">
        <v>506</v>
      </c>
      <c r="H1510"/>
      <c r="I1510"/>
    </row>
    <row r="1511" spans="1:9" x14ac:dyDescent="0.35">
      <c r="A1511" s="71">
        <f t="shared" si="47"/>
        <v>113971.09999999998</v>
      </c>
      <c r="B1511" s="72">
        <f t="shared" si="46"/>
        <v>-1000</v>
      </c>
      <c r="C1511" s="70">
        <v>1510</v>
      </c>
      <c r="E1511" s="66">
        <v>1000</v>
      </c>
      <c r="F1511" s="85">
        <v>45741</v>
      </c>
      <c r="G1511" s="64" t="s">
        <v>541</v>
      </c>
      <c r="H1511"/>
      <c r="I1511"/>
    </row>
    <row r="1512" spans="1:9" x14ac:dyDescent="0.35">
      <c r="A1512" s="71">
        <f t="shared" si="47"/>
        <v>109771.09999999998</v>
      </c>
      <c r="B1512" s="72">
        <f t="shared" si="46"/>
        <v>-4200</v>
      </c>
      <c r="C1512" s="70">
        <v>1511</v>
      </c>
      <c r="E1512" s="66">
        <v>4200</v>
      </c>
      <c r="F1512" s="85">
        <v>45742</v>
      </c>
      <c r="G1512" s="64" t="s">
        <v>826</v>
      </c>
      <c r="H1512"/>
      <c r="I1512"/>
    </row>
    <row r="1513" spans="1:9" x14ac:dyDescent="0.35">
      <c r="A1513" s="71">
        <f t="shared" si="47"/>
        <v>109171.09999999998</v>
      </c>
      <c r="B1513" s="72">
        <f t="shared" si="46"/>
        <v>-600</v>
      </c>
      <c r="C1513" s="70">
        <v>1512</v>
      </c>
      <c r="E1513" s="66">
        <v>600</v>
      </c>
      <c r="F1513" s="85">
        <v>45742</v>
      </c>
      <c r="G1513" s="64" t="s">
        <v>827</v>
      </c>
      <c r="H1513"/>
      <c r="I1513"/>
    </row>
    <row r="1514" spans="1:9" x14ac:dyDescent="0.35">
      <c r="A1514" s="71">
        <f t="shared" si="47"/>
        <v>107171.09999999998</v>
      </c>
      <c r="B1514" s="72">
        <f t="shared" si="46"/>
        <v>-2000</v>
      </c>
      <c r="C1514" s="70">
        <v>1513</v>
      </c>
      <c r="E1514" s="66">
        <v>2000</v>
      </c>
      <c r="F1514" s="85">
        <v>45742</v>
      </c>
      <c r="G1514" s="64" t="s">
        <v>571</v>
      </c>
      <c r="H1514"/>
      <c r="I1514"/>
    </row>
    <row r="1515" spans="1:9" x14ac:dyDescent="0.35">
      <c r="A1515" s="71">
        <f t="shared" si="47"/>
        <v>112581.09999999998</v>
      </c>
      <c r="B1515" s="72">
        <f t="shared" si="46"/>
        <v>5410</v>
      </c>
      <c r="C1515" s="70">
        <v>1514</v>
      </c>
      <c r="D1515" s="65">
        <v>5485</v>
      </c>
      <c r="E1515" s="66">
        <v>75</v>
      </c>
      <c r="F1515" s="85">
        <v>45742</v>
      </c>
      <c r="G1515" s="64" t="s">
        <v>773</v>
      </c>
      <c r="H1515"/>
      <c r="I1515"/>
    </row>
    <row r="1516" spans="1:9" x14ac:dyDescent="0.35">
      <c r="A1516" s="71">
        <f t="shared" si="47"/>
        <v>48547.099999999977</v>
      </c>
      <c r="B1516" s="72">
        <f t="shared" si="46"/>
        <v>-64034</v>
      </c>
      <c r="C1516" s="70">
        <v>1515</v>
      </c>
      <c r="E1516" s="66">
        <v>64034</v>
      </c>
      <c r="F1516" s="85">
        <v>45743</v>
      </c>
      <c r="G1516" s="64" t="s">
        <v>21</v>
      </c>
      <c r="H1516"/>
      <c r="I1516"/>
    </row>
    <row r="1517" spans="1:9" x14ac:dyDescent="0.35">
      <c r="A1517" s="71">
        <f t="shared" si="47"/>
        <v>34985.099999999977</v>
      </c>
      <c r="B1517" s="72">
        <f t="shared" si="46"/>
        <v>-13562</v>
      </c>
      <c r="C1517" s="70">
        <v>1516</v>
      </c>
      <c r="E1517" s="66">
        <v>13562</v>
      </c>
      <c r="F1517" s="85">
        <v>45743</v>
      </c>
      <c r="G1517" s="64" t="s">
        <v>829</v>
      </c>
      <c r="H1517"/>
      <c r="I1517"/>
    </row>
    <row r="1518" spans="1:9" x14ac:dyDescent="0.35">
      <c r="A1518" s="71">
        <f t="shared" si="47"/>
        <v>27985.099999999977</v>
      </c>
      <c r="B1518" s="72">
        <f t="shared" si="46"/>
        <v>-7000</v>
      </c>
      <c r="C1518" s="70">
        <v>1517</v>
      </c>
      <c r="E1518" s="66">
        <v>7000</v>
      </c>
      <c r="F1518" s="85">
        <v>45743</v>
      </c>
      <c r="G1518" s="64" t="s">
        <v>843</v>
      </c>
      <c r="H1518"/>
      <c r="I1518"/>
    </row>
    <row r="1519" spans="1:9" x14ac:dyDescent="0.35">
      <c r="A1519" s="71">
        <f t="shared" si="47"/>
        <v>27565.099999999977</v>
      </c>
      <c r="B1519" s="72">
        <f t="shared" si="46"/>
        <v>-420</v>
      </c>
      <c r="C1519" s="70">
        <v>1518</v>
      </c>
      <c r="E1519" s="66">
        <v>420</v>
      </c>
      <c r="F1519" s="85">
        <v>45743</v>
      </c>
      <c r="G1519" s="64" t="s">
        <v>830</v>
      </c>
      <c r="H1519"/>
      <c r="I1519"/>
    </row>
    <row r="1520" spans="1:9" x14ac:dyDescent="0.35">
      <c r="A1520" s="71">
        <f t="shared" si="47"/>
        <v>29015.099999999977</v>
      </c>
      <c r="B1520" s="72">
        <f t="shared" si="46"/>
        <v>1450</v>
      </c>
      <c r="C1520" s="70">
        <v>1519</v>
      </c>
      <c r="D1520" s="65">
        <v>1705</v>
      </c>
      <c r="E1520" s="66">
        <v>255</v>
      </c>
      <c r="F1520" s="85">
        <v>45743</v>
      </c>
      <c r="G1520" s="64" t="s">
        <v>752</v>
      </c>
      <c r="H1520"/>
      <c r="I1520"/>
    </row>
    <row r="1521" spans="1:9" x14ac:dyDescent="0.35">
      <c r="A1521" s="71">
        <f t="shared" si="47"/>
        <v>28567.099999999977</v>
      </c>
      <c r="B1521" s="72">
        <f t="shared" si="46"/>
        <v>-448</v>
      </c>
      <c r="C1521" s="70">
        <v>1520</v>
      </c>
      <c r="E1521" s="66">
        <v>448</v>
      </c>
      <c r="F1521" s="85">
        <v>45745</v>
      </c>
      <c r="G1521" s="64" t="s">
        <v>831</v>
      </c>
      <c r="H1521"/>
      <c r="I1521"/>
    </row>
    <row r="1522" spans="1:9" x14ac:dyDescent="0.35">
      <c r="A1522" s="71">
        <f t="shared" si="47"/>
        <v>26567.099999999977</v>
      </c>
      <c r="B1522" s="72">
        <f t="shared" si="46"/>
        <v>-2000</v>
      </c>
      <c r="C1522" s="70">
        <v>1521</v>
      </c>
      <c r="E1522" s="66">
        <v>2000</v>
      </c>
      <c r="F1522" s="85">
        <v>45745</v>
      </c>
      <c r="G1522" s="64" t="s">
        <v>832</v>
      </c>
      <c r="H1522"/>
      <c r="I1522"/>
    </row>
    <row r="1523" spans="1:9" x14ac:dyDescent="0.35">
      <c r="A1523" s="71">
        <f t="shared" si="47"/>
        <v>25567.099999999977</v>
      </c>
      <c r="B1523" s="72">
        <f t="shared" si="46"/>
        <v>-1000</v>
      </c>
      <c r="C1523" s="70">
        <v>1522</v>
      </c>
      <c r="E1523" s="66">
        <v>1000</v>
      </c>
      <c r="F1523" s="85">
        <v>45745</v>
      </c>
      <c r="G1523" s="64" t="s">
        <v>87</v>
      </c>
      <c r="H1523"/>
      <c r="I1523"/>
    </row>
    <row r="1524" spans="1:9" x14ac:dyDescent="0.35">
      <c r="A1524" s="71">
        <f t="shared" si="47"/>
        <v>27517.099999999977</v>
      </c>
      <c r="B1524" s="72">
        <f t="shared" si="46"/>
        <v>1950</v>
      </c>
      <c r="C1524" s="70">
        <v>1523</v>
      </c>
      <c r="D1524" s="65">
        <v>1950</v>
      </c>
      <c r="F1524" s="85">
        <v>45745</v>
      </c>
      <c r="G1524" s="64" t="s">
        <v>833</v>
      </c>
      <c r="H1524"/>
      <c r="I1524"/>
    </row>
    <row r="1525" spans="1:9" x14ac:dyDescent="0.35">
      <c r="A1525" s="71">
        <f t="shared" si="47"/>
        <v>29377.099999999977</v>
      </c>
      <c r="B1525" s="72">
        <f t="shared" si="46"/>
        <v>1860</v>
      </c>
      <c r="C1525" s="70">
        <v>1524</v>
      </c>
      <c r="D1525" s="65">
        <v>1860</v>
      </c>
      <c r="F1525" s="85">
        <v>45745</v>
      </c>
      <c r="G1525" s="64" t="s">
        <v>12</v>
      </c>
      <c r="H1525"/>
      <c r="I1525"/>
    </row>
    <row r="1526" spans="1:9" x14ac:dyDescent="0.35">
      <c r="A1526" s="71">
        <f t="shared" si="47"/>
        <v>26377.099999999977</v>
      </c>
      <c r="B1526" s="72">
        <f t="shared" si="46"/>
        <v>-3000</v>
      </c>
      <c r="C1526" s="70">
        <v>1525</v>
      </c>
      <c r="E1526" s="66">
        <v>3000</v>
      </c>
      <c r="F1526" s="85">
        <v>45745</v>
      </c>
      <c r="G1526" s="64" t="s">
        <v>177</v>
      </c>
      <c r="H1526"/>
      <c r="I1526"/>
    </row>
    <row r="1527" spans="1:9" x14ac:dyDescent="0.35">
      <c r="A1527" s="71">
        <f t="shared" si="47"/>
        <v>30412.099999999977</v>
      </c>
      <c r="B1527" s="72">
        <f t="shared" si="46"/>
        <v>4035</v>
      </c>
      <c r="C1527" s="70">
        <v>1526</v>
      </c>
      <c r="D1527" s="65">
        <v>4035</v>
      </c>
      <c r="F1527" s="85">
        <v>45752</v>
      </c>
      <c r="G1527" s="64" t="s">
        <v>968</v>
      </c>
      <c r="H1527"/>
      <c r="I1527"/>
    </row>
    <row r="1528" spans="1:9" x14ac:dyDescent="0.35">
      <c r="A1528" s="71">
        <f t="shared" si="47"/>
        <v>30062.099999999977</v>
      </c>
      <c r="B1528" s="72">
        <f t="shared" si="46"/>
        <v>-350</v>
      </c>
      <c r="C1528" s="70">
        <v>1527</v>
      </c>
      <c r="E1528" s="66">
        <v>350</v>
      </c>
      <c r="F1528" s="85">
        <v>45752</v>
      </c>
      <c r="G1528" s="64" t="s">
        <v>834</v>
      </c>
      <c r="H1528"/>
      <c r="I1528"/>
    </row>
    <row r="1529" spans="1:9" x14ac:dyDescent="0.35">
      <c r="A1529" s="71">
        <f t="shared" si="47"/>
        <v>32557.099999999977</v>
      </c>
      <c r="B1529" s="72">
        <f t="shared" si="46"/>
        <v>2495</v>
      </c>
      <c r="C1529" s="70">
        <v>1528</v>
      </c>
      <c r="D1529" s="65">
        <v>2765</v>
      </c>
      <c r="E1529" s="66">
        <v>270</v>
      </c>
      <c r="F1529" s="85">
        <v>45752</v>
      </c>
      <c r="G1529" s="64" t="s">
        <v>50</v>
      </c>
      <c r="H1529"/>
      <c r="I1529"/>
    </row>
    <row r="1530" spans="1:9" x14ac:dyDescent="0.35">
      <c r="A1530" s="71">
        <f t="shared" si="47"/>
        <v>32472.099999999977</v>
      </c>
      <c r="B1530" s="72">
        <f t="shared" si="46"/>
        <v>-85</v>
      </c>
      <c r="C1530" s="70">
        <v>1529</v>
      </c>
      <c r="E1530" s="66">
        <v>85</v>
      </c>
      <c r="F1530" s="85">
        <v>45752</v>
      </c>
      <c r="G1530" s="64" t="s">
        <v>400</v>
      </c>
      <c r="H1530"/>
      <c r="I1530"/>
    </row>
    <row r="1531" spans="1:9" x14ac:dyDescent="0.35">
      <c r="A1531" s="71">
        <f t="shared" si="47"/>
        <v>13222.099999999977</v>
      </c>
      <c r="B1531" s="72">
        <f t="shared" si="46"/>
        <v>-19250</v>
      </c>
      <c r="C1531" s="70">
        <v>1530</v>
      </c>
      <c r="E1531" s="66">
        <v>19250</v>
      </c>
      <c r="F1531" s="85">
        <v>45753</v>
      </c>
      <c r="G1531" s="64" t="s">
        <v>17</v>
      </c>
      <c r="H1531"/>
      <c r="I1531"/>
    </row>
    <row r="1532" spans="1:9" x14ac:dyDescent="0.35">
      <c r="A1532" s="71">
        <f t="shared" si="47"/>
        <v>12962.099999999977</v>
      </c>
      <c r="B1532" s="72">
        <f t="shared" si="46"/>
        <v>-260</v>
      </c>
      <c r="C1532" s="70">
        <v>1531</v>
      </c>
      <c r="E1532" s="66">
        <v>260</v>
      </c>
      <c r="F1532" s="85">
        <v>45753</v>
      </c>
      <c r="G1532" s="64" t="s">
        <v>1</v>
      </c>
      <c r="H1532"/>
      <c r="I1532"/>
    </row>
    <row r="1533" spans="1:9" x14ac:dyDescent="0.35">
      <c r="A1533" s="71">
        <f t="shared" si="47"/>
        <v>12447.099999999977</v>
      </c>
      <c r="B1533" s="72">
        <f t="shared" si="46"/>
        <v>-515</v>
      </c>
      <c r="C1533" s="70">
        <v>1532</v>
      </c>
      <c r="E1533" s="66">
        <v>515</v>
      </c>
      <c r="F1533" s="85">
        <v>45753</v>
      </c>
      <c r="G1533" s="64" t="s">
        <v>14</v>
      </c>
      <c r="H1533"/>
      <c r="I1533"/>
    </row>
    <row r="1534" spans="1:9" x14ac:dyDescent="0.35">
      <c r="A1534" s="71">
        <f t="shared" si="47"/>
        <v>17247.099999999977</v>
      </c>
      <c r="B1534" s="72">
        <f t="shared" si="46"/>
        <v>4800</v>
      </c>
      <c r="C1534" s="70">
        <v>1533</v>
      </c>
      <c r="D1534" s="65">
        <v>4800</v>
      </c>
      <c r="F1534" s="85">
        <v>45753</v>
      </c>
      <c r="G1534" s="64" t="s">
        <v>410</v>
      </c>
      <c r="H1534"/>
      <c r="I1534"/>
    </row>
    <row r="1535" spans="1:9" x14ac:dyDescent="0.35">
      <c r="A1535" s="71">
        <f t="shared" si="47"/>
        <v>15485.099999999977</v>
      </c>
      <c r="B1535" s="72">
        <f t="shared" si="46"/>
        <v>-1762</v>
      </c>
      <c r="C1535" s="70">
        <v>1534</v>
      </c>
      <c r="E1535" s="66">
        <v>1762</v>
      </c>
      <c r="F1535" s="85">
        <v>45753</v>
      </c>
      <c r="G1535" s="64" t="s">
        <v>835</v>
      </c>
      <c r="H1535"/>
      <c r="I1535"/>
    </row>
    <row r="1536" spans="1:9" x14ac:dyDescent="0.35">
      <c r="A1536" s="71">
        <f t="shared" si="47"/>
        <v>15335.099999999977</v>
      </c>
      <c r="B1536" s="72">
        <f t="shared" si="46"/>
        <v>-150</v>
      </c>
      <c r="C1536" s="70">
        <v>1535</v>
      </c>
      <c r="E1536" s="66">
        <v>150</v>
      </c>
      <c r="F1536" s="85">
        <v>45753</v>
      </c>
      <c r="G1536" s="64" t="s">
        <v>552</v>
      </c>
      <c r="H1536"/>
      <c r="I1536"/>
    </row>
    <row r="1537" spans="1:9" x14ac:dyDescent="0.35">
      <c r="A1537" s="71">
        <f t="shared" si="47"/>
        <v>21025.099999999977</v>
      </c>
      <c r="B1537" s="72">
        <f t="shared" si="46"/>
        <v>5690</v>
      </c>
      <c r="C1537" s="70">
        <v>1536</v>
      </c>
      <c r="D1537" s="65">
        <v>5690</v>
      </c>
      <c r="F1537" s="85">
        <v>45754</v>
      </c>
      <c r="G1537" s="64" t="s">
        <v>410</v>
      </c>
      <c r="H1537"/>
      <c r="I1537"/>
    </row>
    <row r="1538" spans="1:9" x14ac:dyDescent="0.35">
      <c r="A1538" s="71">
        <f t="shared" si="47"/>
        <v>21005.099999999977</v>
      </c>
      <c r="B1538" s="72">
        <f t="shared" si="46"/>
        <v>-20</v>
      </c>
      <c r="C1538" s="70">
        <v>1537</v>
      </c>
      <c r="E1538" s="66">
        <v>20</v>
      </c>
      <c r="F1538" s="85">
        <v>45754</v>
      </c>
      <c r="G1538" s="64" t="s">
        <v>243</v>
      </c>
      <c r="H1538"/>
      <c r="I1538"/>
    </row>
    <row r="1539" spans="1:9" x14ac:dyDescent="0.35">
      <c r="A1539" s="71">
        <f t="shared" si="47"/>
        <v>20849.099999999977</v>
      </c>
      <c r="B1539" s="72">
        <f t="shared" ref="B1539:B1602" si="48">SUM(D1539-E1539)</f>
        <v>-156</v>
      </c>
      <c r="C1539" s="70">
        <v>1538</v>
      </c>
      <c r="E1539" s="66">
        <v>156</v>
      </c>
      <c r="F1539" s="85">
        <v>45754</v>
      </c>
      <c r="G1539" s="64" t="s">
        <v>837</v>
      </c>
      <c r="H1539"/>
      <c r="I1539"/>
    </row>
    <row r="1540" spans="1:9" x14ac:dyDescent="0.35">
      <c r="A1540" s="71">
        <f t="shared" ref="A1540:A1603" si="49">SUM(A1539+B1540)</f>
        <v>20689.099999999977</v>
      </c>
      <c r="B1540" s="72">
        <f t="shared" si="48"/>
        <v>-160</v>
      </c>
      <c r="C1540" s="70">
        <v>1539</v>
      </c>
      <c r="E1540" s="66">
        <v>160</v>
      </c>
      <c r="F1540" s="85">
        <v>45754</v>
      </c>
      <c r="G1540" s="64" t="s">
        <v>838</v>
      </c>
      <c r="H1540"/>
      <c r="I1540"/>
    </row>
    <row r="1541" spans="1:9" x14ac:dyDescent="0.35">
      <c r="A1541" s="71">
        <f t="shared" si="49"/>
        <v>46274.099999999977</v>
      </c>
      <c r="B1541" s="72">
        <f t="shared" si="48"/>
        <v>25585</v>
      </c>
      <c r="C1541" s="70">
        <v>1540</v>
      </c>
      <c r="D1541" s="65">
        <v>25585</v>
      </c>
      <c r="F1541" s="85">
        <v>45755</v>
      </c>
      <c r="G1541" s="64" t="s">
        <v>12</v>
      </c>
      <c r="H1541"/>
      <c r="I1541"/>
    </row>
    <row r="1542" spans="1:9" x14ac:dyDescent="0.35">
      <c r="A1542" s="71">
        <f t="shared" si="49"/>
        <v>46194.099999999977</v>
      </c>
      <c r="B1542" s="72">
        <f t="shared" si="48"/>
        <v>-80</v>
      </c>
      <c r="C1542" s="70">
        <v>1541</v>
      </c>
      <c r="E1542" s="66">
        <v>80</v>
      </c>
      <c r="F1542" s="85">
        <v>45755</v>
      </c>
      <c r="G1542" s="64" t="s">
        <v>841</v>
      </c>
      <c r="H1542"/>
      <c r="I1542"/>
    </row>
    <row r="1543" spans="1:9" x14ac:dyDescent="0.35">
      <c r="A1543" s="71">
        <f t="shared" si="49"/>
        <v>44194.099999999977</v>
      </c>
      <c r="B1543" s="72">
        <f t="shared" si="48"/>
        <v>-2000</v>
      </c>
      <c r="C1543" s="70">
        <v>1542</v>
      </c>
      <c r="E1543" s="66">
        <v>2000</v>
      </c>
      <c r="F1543" s="85">
        <v>45755</v>
      </c>
      <c r="G1543" s="64" t="s">
        <v>842</v>
      </c>
      <c r="H1543"/>
      <c r="I1543"/>
    </row>
    <row r="1544" spans="1:9" x14ac:dyDescent="0.35">
      <c r="A1544" s="71">
        <f t="shared" si="49"/>
        <v>43874.099999999977</v>
      </c>
      <c r="B1544" s="72">
        <f t="shared" si="48"/>
        <v>-320</v>
      </c>
      <c r="C1544" s="70">
        <v>1543</v>
      </c>
      <c r="E1544" s="66">
        <v>320</v>
      </c>
      <c r="F1544" s="85">
        <v>45755</v>
      </c>
      <c r="G1544" s="64" t="s">
        <v>75</v>
      </c>
      <c r="H1544"/>
      <c r="I1544"/>
    </row>
    <row r="1545" spans="1:9" x14ac:dyDescent="0.35">
      <c r="A1545" s="71">
        <f t="shared" si="49"/>
        <v>43799.099999999977</v>
      </c>
      <c r="B1545" s="72">
        <f t="shared" si="48"/>
        <v>-75</v>
      </c>
      <c r="C1545" s="70">
        <v>1544</v>
      </c>
      <c r="E1545" s="66">
        <v>75</v>
      </c>
      <c r="F1545" s="85">
        <v>45755</v>
      </c>
      <c r="G1545" s="64" t="s">
        <v>447</v>
      </c>
      <c r="H1545"/>
      <c r="I1545"/>
    </row>
    <row r="1546" spans="1:9" x14ac:dyDescent="0.35">
      <c r="A1546" s="71">
        <f t="shared" si="49"/>
        <v>54054.099999999977</v>
      </c>
      <c r="B1546" s="72">
        <f t="shared" si="48"/>
        <v>10255</v>
      </c>
      <c r="C1546" s="70">
        <v>1545</v>
      </c>
      <c r="D1546" s="65">
        <v>10255</v>
      </c>
      <c r="F1546" s="85">
        <v>45756</v>
      </c>
      <c r="G1546" s="64" t="s">
        <v>12</v>
      </c>
      <c r="H1546"/>
      <c r="I1546"/>
    </row>
    <row r="1547" spans="1:9" x14ac:dyDescent="0.35">
      <c r="A1547" s="71">
        <f t="shared" si="49"/>
        <v>53888.099999999977</v>
      </c>
      <c r="B1547" s="72">
        <f t="shared" si="48"/>
        <v>-166</v>
      </c>
      <c r="C1547" s="70">
        <v>1546</v>
      </c>
      <c r="E1547" s="66">
        <v>166</v>
      </c>
      <c r="F1547" s="85">
        <v>45757</v>
      </c>
      <c r="G1547" s="64" t="s">
        <v>845</v>
      </c>
      <c r="H1547"/>
      <c r="I1547"/>
    </row>
    <row r="1548" spans="1:9" x14ac:dyDescent="0.35">
      <c r="A1548" s="71">
        <f t="shared" si="49"/>
        <v>29390.099999999977</v>
      </c>
      <c r="B1548" s="72">
        <f t="shared" si="48"/>
        <v>-24498</v>
      </c>
      <c r="C1548" s="70">
        <v>1547</v>
      </c>
      <c r="E1548" s="66">
        <v>24498</v>
      </c>
      <c r="F1548" s="85">
        <v>45757</v>
      </c>
      <c r="G1548" s="64" t="s">
        <v>18</v>
      </c>
      <c r="H1548"/>
      <c r="I1548"/>
    </row>
    <row r="1549" spans="1:9" x14ac:dyDescent="0.35">
      <c r="A1549" s="71">
        <f t="shared" si="49"/>
        <v>13390.099999999977</v>
      </c>
      <c r="B1549" s="72">
        <f t="shared" si="48"/>
        <v>-16000</v>
      </c>
      <c r="C1549" s="70">
        <v>1548</v>
      </c>
      <c r="E1549" s="66">
        <v>16000</v>
      </c>
      <c r="F1549" s="85">
        <v>45757</v>
      </c>
      <c r="G1549" s="64" t="s">
        <v>279</v>
      </c>
      <c r="H1549"/>
      <c r="I1549"/>
    </row>
    <row r="1550" spans="1:9" x14ac:dyDescent="0.35">
      <c r="A1550" s="71">
        <f t="shared" si="49"/>
        <v>16410.099999999977</v>
      </c>
      <c r="B1550" s="72">
        <f t="shared" si="48"/>
        <v>3020</v>
      </c>
      <c r="C1550" s="70">
        <v>1549</v>
      </c>
      <c r="D1550" s="65">
        <v>3275</v>
      </c>
      <c r="E1550" s="66">
        <v>255</v>
      </c>
      <c r="F1550" s="85">
        <v>45757</v>
      </c>
      <c r="G1550" s="64" t="s">
        <v>752</v>
      </c>
      <c r="H1550"/>
      <c r="I1550"/>
    </row>
    <row r="1551" spans="1:9" x14ac:dyDescent="0.35">
      <c r="A1551" s="71">
        <f t="shared" si="49"/>
        <v>24395.099999999977</v>
      </c>
      <c r="B1551" s="72">
        <f t="shared" si="48"/>
        <v>7985</v>
      </c>
      <c r="C1551" s="70">
        <v>1550</v>
      </c>
      <c r="D1551" s="65">
        <v>7985</v>
      </c>
      <c r="F1551" s="85">
        <v>45759</v>
      </c>
      <c r="G1551" s="64" t="s">
        <v>12</v>
      </c>
      <c r="H1551"/>
      <c r="I1551"/>
    </row>
    <row r="1552" spans="1:9" x14ac:dyDescent="0.35">
      <c r="A1552" s="71">
        <f t="shared" si="49"/>
        <v>23370.099999999977</v>
      </c>
      <c r="B1552" s="72">
        <f t="shared" si="48"/>
        <v>-1025</v>
      </c>
      <c r="C1552" s="70">
        <v>1551</v>
      </c>
      <c r="E1552" s="66">
        <v>1025</v>
      </c>
      <c r="F1552" s="85">
        <v>45759</v>
      </c>
      <c r="G1552" s="64" t="s">
        <v>847</v>
      </c>
      <c r="H1552"/>
      <c r="I1552"/>
    </row>
    <row r="1553" spans="1:9" x14ac:dyDescent="0.35">
      <c r="A1553" s="71">
        <f t="shared" si="49"/>
        <v>23120.099999999977</v>
      </c>
      <c r="B1553" s="72">
        <f t="shared" si="48"/>
        <v>-250</v>
      </c>
      <c r="C1553" s="70">
        <v>1552</v>
      </c>
      <c r="E1553" s="66">
        <v>250</v>
      </c>
      <c r="F1553" s="85">
        <v>45759</v>
      </c>
      <c r="G1553" s="64" t="s">
        <v>849</v>
      </c>
      <c r="H1553"/>
      <c r="I1553"/>
    </row>
    <row r="1554" spans="1:9" x14ac:dyDescent="0.35">
      <c r="A1554" s="71">
        <f t="shared" si="49"/>
        <v>22970.099999999977</v>
      </c>
      <c r="B1554" s="72">
        <f t="shared" si="48"/>
        <v>-150</v>
      </c>
      <c r="C1554" s="70">
        <v>1553</v>
      </c>
      <c r="E1554" s="66">
        <v>150</v>
      </c>
      <c r="F1554" s="85">
        <v>45759</v>
      </c>
      <c r="G1554" s="64" t="s">
        <v>850</v>
      </c>
      <c r="H1554"/>
      <c r="I1554"/>
    </row>
    <row r="1555" spans="1:9" x14ac:dyDescent="0.35">
      <c r="A1555" s="71">
        <f t="shared" si="49"/>
        <v>22890.099999999977</v>
      </c>
      <c r="B1555" s="72">
        <f t="shared" si="48"/>
        <v>-80</v>
      </c>
      <c r="C1555" s="70">
        <v>1554</v>
      </c>
      <c r="E1555" s="66">
        <v>80</v>
      </c>
      <c r="F1555" s="85">
        <v>45759</v>
      </c>
      <c r="G1555" s="64" t="s">
        <v>863</v>
      </c>
      <c r="H1555"/>
      <c r="I1555"/>
    </row>
    <row r="1556" spans="1:9" x14ac:dyDescent="0.35">
      <c r="A1556" s="71">
        <f t="shared" si="49"/>
        <v>22875.099999999977</v>
      </c>
      <c r="B1556" s="72">
        <f t="shared" si="48"/>
        <v>-15</v>
      </c>
      <c r="C1556" s="70">
        <v>1555</v>
      </c>
      <c r="E1556" s="66">
        <v>15</v>
      </c>
      <c r="F1556" s="85">
        <v>45759</v>
      </c>
      <c r="H1556"/>
      <c r="I1556"/>
    </row>
    <row r="1557" spans="1:9" x14ac:dyDescent="0.35">
      <c r="A1557" s="71">
        <f t="shared" si="49"/>
        <v>28415.099999999977</v>
      </c>
      <c r="B1557" s="72">
        <f t="shared" si="48"/>
        <v>5540</v>
      </c>
      <c r="C1557" s="70">
        <v>1556</v>
      </c>
      <c r="D1557" s="65">
        <v>32140</v>
      </c>
      <c r="E1557" s="66">
        <v>26600</v>
      </c>
      <c r="F1557" s="85">
        <v>45760</v>
      </c>
      <c r="G1557" s="64" t="s">
        <v>15</v>
      </c>
      <c r="H1557"/>
      <c r="I1557"/>
    </row>
    <row r="1558" spans="1:9" x14ac:dyDescent="0.35">
      <c r="A1558" s="71">
        <f t="shared" si="49"/>
        <v>28175.099999999977</v>
      </c>
      <c r="B1558" s="72">
        <f t="shared" si="48"/>
        <v>-240</v>
      </c>
      <c r="C1558" s="70">
        <v>1557</v>
      </c>
      <c r="E1558" s="66">
        <v>240</v>
      </c>
      <c r="F1558" s="85">
        <v>45760</v>
      </c>
      <c r="G1558" s="64" t="s">
        <v>851</v>
      </c>
      <c r="H1558"/>
      <c r="I1558"/>
    </row>
    <row r="1559" spans="1:9" x14ac:dyDescent="0.35">
      <c r="A1559" s="71">
        <f t="shared" si="49"/>
        <v>28025.099999999977</v>
      </c>
      <c r="B1559" s="72">
        <f t="shared" si="48"/>
        <v>-150</v>
      </c>
      <c r="C1559" s="70">
        <v>1558</v>
      </c>
      <c r="E1559" s="66">
        <v>150</v>
      </c>
      <c r="F1559" s="85">
        <v>45760</v>
      </c>
      <c r="G1559" s="64" t="s">
        <v>852</v>
      </c>
      <c r="H1559"/>
      <c r="I1559"/>
    </row>
    <row r="1560" spans="1:9" x14ac:dyDescent="0.35">
      <c r="A1560" s="71">
        <f t="shared" si="49"/>
        <v>25025.099999999977</v>
      </c>
      <c r="B1560" s="72">
        <f t="shared" si="48"/>
        <v>-3000</v>
      </c>
      <c r="C1560" s="70">
        <v>1559</v>
      </c>
      <c r="E1560" s="66">
        <v>3000</v>
      </c>
      <c r="F1560" s="85">
        <v>45760</v>
      </c>
      <c r="G1560" s="64" t="s">
        <v>922</v>
      </c>
      <c r="H1560"/>
      <c r="I1560"/>
    </row>
    <row r="1561" spans="1:9" x14ac:dyDescent="0.35">
      <c r="A1561" s="71">
        <f t="shared" si="49"/>
        <v>23145.099999999977</v>
      </c>
      <c r="B1561" s="72">
        <f t="shared" si="48"/>
        <v>-1880</v>
      </c>
      <c r="C1561" s="70">
        <v>1560</v>
      </c>
      <c r="E1561" s="66">
        <v>1880</v>
      </c>
      <c r="F1561" s="85">
        <v>45761</v>
      </c>
      <c r="G1561" s="64" t="s">
        <v>853</v>
      </c>
      <c r="H1561"/>
      <c r="I1561"/>
    </row>
    <row r="1562" spans="1:9" x14ac:dyDescent="0.35">
      <c r="A1562" s="71">
        <f t="shared" si="49"/>
        <v>29415.099999999977</v>
      </c>
      <c r="B1562" s="72">
        <f t="shared" si="48"/>
        <v>6270</v>
      </c>
      <c r="C1562" s="70">
        <v>1561</v>
      </c>
      <c r="D1562" s="65">
        <v>6425</v>
      </c>
      <c r="E1562" s="66">
        <v>155</v>
      </c>
      <c r="F1562" s="85">
        <v>45761</v>
      </c>
      <c r="G1562" s="64" t="s">
        <v>854</v>
      </c>
      <c r="H1562"/>
      <c r="I1562"/>
    </row>
    <row r="1563" spans="1:9" x14ac:dyDescent="0.35">
      <c r="A1563" s="71">
        <f t="shared" si="49"/>
        <v>29340.099999999977</v>
      </c>
      <c r="B1563" s="72">
        <f t="shared" si="48"/>
        <v>-75</v>
      </c>
      <c r="C1563" s="70">
        <v>1562</v>
      </c>
      <c r="E1563" s="66">
        <v>75</v>
      </c>
      <c r="F1563" s="85">
        <v>45761</v>
      </c>
      <c r="G1563" s="64" t="s">
        <v>554</v>
      </c>
      <c r="H1563"/>
      <c r="I1563"/>
    </row>
    <row r="1564" spans="1:9" x14ac:dyDescent="0.35">
      <c r="A1564" s="71">
        <f t="shared" si="49"/>
        <v>65010.099999999977</v>
      </c>
      <c r="B1564" s="72">
        <f t="shared" si="48"/>
        <v>35670</v>
      </c>
      <c r="C1564" s="70">
        <v>1563</v>
      </c>
      <c r="D1564" s="65">
        <v>35895</v>
      </c>
      <c r="E1564" s="66">
        <v>225</v>
      </c>
      <c r="F1564" s="85">
        <v>45762</v>
      </c>
      <c r="G1564" s="64" t="s">
        <v>473</v>
      </c>
      <c r="H1564"/>
      <c r="I1564"/>
    </row>
    <row r="1565" spans="1:9" x14ac:dyDescent="0.35">
      <c r="A1565" s="71">
        <f t="shared" si="49"/>
        <v>64960.099999999977</v>
      </c>
      <c r="B1565" s="72">
        <f t="shared" si="48"/>
        <v>-50</v>
      </c>
      <c r="C1565" s="70">
        <v>1564</v>
      </c>
      <c r="E1565" s="66">
        <v>50</v>
      </c>
      <c r="F1565" s="85">
        <v>45762</v>
      </c>
      <c r="G1565" s="64" t="s">
        <v>602</v>
      </c>
      <c r="H1565"/>
      <c r="I1565"/>
    </row>
    <row r="1566" spans="1:9" x14ac:dyDescent="0.35">
      <c r="A1566" s="71">
        <f t="shared" si="49"/>
        <v>64885.099999999977</v>
      </c>
      <c r="B1566" s="72">
        <f t="shared" si="48"/>
        <v>-75</v>
      </c>
      <c r="C1566" s="70">
        <v>1565</v>
      </c>
      <c r="E1566" s="66">
        <v>75</v>
      </c>
      <c r="F1566" s="85">
        <v>45762</v>
      </c>
      <c r="G1566" s="64" t="s">
        <v>855</v>
      </c>
      <c r="H1566"/>
      <c r="I1566"/>
    </row>
    <row r="1567" spans="1:9" x14ac:dyDescent="0.35">
      <c r="A1567" s="71">
        <f t="shared" si="49"/>
        <v>63885.099999999977</v>
      </c>
      <c r="B1567" s="72">
        <f t="shared" si="48"/>
        <v>-1000</v>
      </c>
      <c r="C1567" s="70">
        <v>1566</v>
      </c>
      <c r="E1567" s="66">
        <v>1000</v>
      </c>
      <c r="F1567" s="85">
        <v>45762</v>
      </c>
      <c r="G1567" s="64" t="s">
        <v>856</v>
      </c>
      <c r="H1567"/>
      <c r="I1567"/>
    </row>
    <row r="1568" spans="1:9" x14ac:dyDescent="0.35">
      <c r="A1568" s="71">
        <f t="shared" si="49"/>
        <v>86990.099999999977</v>
      </c>
      <c r="B1568" s="72">
        <f t="shared" si="48"/>
        <v>23105</v>
      </c>
      <c r="C1568" s="70">
        <v>1567</v>
      </c>
      <c r="D1568" s="65">
        <v>23605</v>
      </c>
      <c r="E1568" s="66">
        <v>500</v>
      </c>
      <c r="F1568" s="85">
        <v>45762</v>
      </c>
      <c r="G1568" s="64" t="s">
        <v>199</v>
      </c>
      <c r="H1568"/>
      <c r="I1568"/>
    </row>
    <row r="1569" spans="1:9" x14ac:dyDescent="0.35">
      <c r="A1569" s="71">
        <f t="shared" si="49"/>
        <v>61990.099999999977</v>
      </c>
      <c r="B1569" s="72">
        <f t="shared" si="48"/>
        <v>-25000</v>
      </c>
      <c r="C1569" s="70">
        <v>1568</v>
      </c>
      <c r="E1569" s="66">
        <v>25000</v>
      </c>
      <c r="F1569" s="85">
        <v>45763</v>
      </c>
      <c r="G1569" s="64" t="s">
        <v>857</v>
      </c>
      <c r="H1569"/>
      <c r="I1569"/>
    </row>
    <row r="1570" spans="1:9" x14ac:dyDescent="0.35">
      <c r="A1570" s="71">
        <f t="shared" si="49"/>
        <v>59790.099999999977</v>
      </c>
      <c r="B1570" s="72">
        <f t="shared" si="48"/>
        <v>-2200</v>
      </c>
      <c r="C1570" s="70">
        <v>1569</v>
      </c>
      <c r="E1570" s="66">
        <v>2200</v>
      </c>
      <c r="F1570" s="85">
        <v>45763</v>
      </c>
      <c r="G1570" s="64" t="s">
        <v>177</v>
      </c>
      <c r="H1570"/>
      <c r="I1570"/>
    </row>
    <row r="1571" spans="1:9" x14ac:dyDescent="0.35">
      <c r="A1571" s="71">
        <f t="shared" si="49"/>
        <v>57290.099999999977</v>
      </c>
      <c r="B1571" s="72">
        <f t="shared" si="48"/>
        <v>-2500</v>
      </c>
      <c r="C1571" s="70">
        <v>1570</v>
      </c>
      <c r="E1571" s="66">
        <v>2500</v>
      </c>
      <c r="F1571" s="85">
        <v>45763</v>
      </c>
      <c r="G1571" s="64" t="s">
        <v>858</v>
      </c>
      <c r="H1571"/>
      <c r="I1571"/>
    </row>
    <row r="1572" spans="1:9" x14ac:dyDescent="0.35">
      <c r="A1572" s="71">
        <f t="shared" si="49"/>
        <v>57215.099999999977</v>
      </c>
      <c r="B1572" s="72">
        <f t="shared" si="48"/>
        <v>-75</v>
      </c>
      <c r="C1572" s="70">
        <v>1571</v>
      </c>
      <c r="E1572" s="66">
        <v>75</v>
      </c>
      <c r="F1572" s="85">
        <v>45763</v>
      </c>
      <c r="G1572" s="64" t="s">
        <v>859</v>
      </c>
      <c r="H1572"/>
      <c r="I1572"/>
    </row>
    <row r="1573" spans="1:9" x14ac:dyDescent="0.35">
      <c r="A1573" s="71">
        <f t="shared" si="49"/>
        <v>53615.099999999977</v>
      </c>
      <c r="B1573" s="72">
        <f t="shared" si="48"/>
        <v>-3600</v>
      </c>
      <c r="C1573" s="70">
        <v>1572</v>
      </c>
      <c r="E1573" s="66">
        <v>3600</v>
      </c>
      <c r="F1573" s="85">
        <v>45764</v>
      </c>
      <c r="G1573" s="64" t="s">
        <v>860</v>
      </c>
      <c r="H1573"/>
      <c r="I1573"/>
    </row>
    <row r="1574" spans="1:9" x14ac:dyDescent="0.35">
      <c r="A1574" s="71">
        <f t="shared" si="49"/>
        <v>52615.099999999977</v>
      </c>
      <c r="B1574" s="72">
        <f t="shared" si="48"/>
        <v>-1000</v>
      </c>
      <c r="C1574" s="70">
        <v>1573</v>
      </c>
      <c r="E1574" s="66">
        <v>1000</v>
      </c>
      <c r="F1574" s="85">
        <v>45764</v>
      </c>
      <c r="G1574" s="64" t="s">
        <v>861</v>
      </c>
      <c r="H1574"/>
      <c r="I1574"/>
    </row>
    <row r="1575" spans="1:9" x14ac:dyDescent="0.35">
      <c r="A1575" s="71">
        <f t="shared" si="49"/>
        <v>52515.099999999977</v>
      </c>
      <c r="B1575" s="72">
        <f t="shared" si="48"/>
        <v>-100</v>
      </c>
      <c r="C1575" s="70">
        <v>1574</v>
      </c>
      <c r="E1575" s="66">
        <v>100</v>
      </c>
      <c r="F1575" s="85">
        <v>45764</v>
      </c>
      <c r="G1575" s="64" t="s">
        <v>120</v>
      </c>
      <c r="H1575"/>
      <c r="I1575"/>
    </row>
    <row r="1576" spans="1:9" x14ac:dyDescent="0.35">
      <c r="A1576" s="71">
        <f t="shared" si="49"/>
        <v>54025.099999999977</v>
      </c>
      <c r="B1576" s="72">
        <f t="shared" si="48"/>
        <v>1510</v>
      </c>
      <c r="C1576" s="70">
        <v>1575</v>
      </c>
      <c r="D1576" s="65">
        <v>1510</v>
      </c>
      <c r="F1576" s="85">
        <v>45764</v>
      </c>
      <c r="G1576" s="64" t="s">
        <v>12</v>
      </c>
      <c r="H1576"/>
      <c r="I1576"/>
    </row>
    <row r="1577" spans="1:9" x14ac:dyDescent="0.35">
      <c r="A1577" s="71">
        <f t="shared" si="49"/>
        <v>62085.099999999977</v>
      </c>
      <c r="B1577" s="72">
        <f t="shared" si="48"/>
        <v>8060</v>
      </c>
      <c r="C1577" s="70">
        <v>1576</v>
      </c>
      <c r="D1577" s="65">
        <v>8145</v>
      </c>
      <c r="E1577" s="66">
        <v>85</v>
      </c>
      <c r="F1577" s="85">
        <v>45766</v>
      </c>
      <c r="G1577" s="64" t="s">
        <v>400</v>
      </c>
      <c r="H1577"/>
      <c r="I1577"/>
    </row>
    <row r="1578" spans="1:9" x14ac:dyDescent="0.35">
      <c r="A1578" s="71">
        <f t="shared" si="49"/>
        <v>61885.099999999977</v>
      </c>
      <c r="B1578" s="72">
        <f t="shared" si="48"/>
        <v>-200</v>
      </c>
      <c r="C1578" s="70">
        <v>1577</v>
      </c>
      <c r="E1578" s="66">
        <v>200</v>
      </c>
      <c r="F1578" s="85">
        <v>45766</v>
      </c>
      <c r="G1578" s="64" t="s">
        <v>332</v>
      </c>
      <c r="H1578"/>
      <c r="I1578"/>
    </row>
    <row r="1579" spans="1:9" x14ac:dyDescent="0.35">
      <c r="A1579" s="71">
        <f t="shared" si="49"/>
        <v>69540.099999999977</v>
      </c>
      <c r="B1579" s="72">
        <f t="shared" si="48"/>
        <v>7655</v>
      </c>
      <c r="C1579" s="70">
        <v>1578</v>
      </c>
      <c r="D1579" s="65">
        <v>7815</v>
      </c>
      <c r="E1579" s="66">
        <v>160</v>
      </c>
      <c r="F1579" s="85">
        <v>45767</v>
      </c>
      <c r="G1579" s="64" t="s">
        <v>862</v>
      </c>
      <c r="H1579"/>
      <c r="I1579"/>
    </row>
    <row r="1580" spans="1:9" x14ac:dyDescent="0.35">
      <c r="A1580" s="71">
        <f t="shared" si="49"/>
        <v>68040.099999999977</v>
      </c>
      <c r="B1580" s="72">
        <f t="shared" si="48"/>
        <v>-1500</v>
      </c>
      <c r="C1580" s="70">
        <v>1579</v>
      </c>
      <c r="E1580" s="66">
        <v>1500</v>
      </c>
      <c r="F1580" s="85">
        <v>45767</v>
      </c>
      <c r="G1580" s="64" t="s">
        <v>64</v>
      </c>
      <c r="H1580"/>
      <c r="I1580"/>
    </row>
    <row r="1581" spans="1:9" x14ac:dyDescent="0.35">
      <c r="A1581" s="71">
        <f t="shared" si="49"/>
        <v>67965.099999999977</v>
      </c>
      <c r="B1581" s="72">
        <f t="shared" si="48"/>
        <v>-75</v>
      </c>
      <c r="C1581" s="70">
        <v>1580</v>
      </c>
      <c r="E1581" s="66">
        <v>75</v>
      </c>
      <c r="F1581" s="85">
        <v>45767</v>
      </c>
      <c r="G1581" s="64" t="s">
        <v>701</v>
      </c>
      <c r="H1581"/>
      <c r="I1581"/>
    </row>
    <row r="1582" spans="1:9" x14ac:dyDescent="0.35">
      <c r="A1582" s="71">
        <f t="shared" si="49"/>
        <v>107415.09999999998</v>
      </c>
      <c r="B1582" s="72">
        <f t="shared" si="48"/>
        <v>39450</v>
      </c>
      <c r="C1582" s="70">
        <v>1581</v>
      </c>
      <c r="D1582" s="65">
        <v>39450</v>
      </c>
      <c r="F1582" s="85">
        <v>45769</v>
      </c>
      <c r="H1582"/>
      <c r="I1582"/>
    </row>
    <row r="1583" spans="1:9" x14ac:dyDescent="0.35">
      <c r="A1583" s="71">
        <f t="shared" si="49"/>
        <v>107415.09999999998</v>
      </c>
      <c r="B1583" s="72">
        <f t="shared" si="48"/>
        <v>0</v>
      </c>
      <c r="C1583" s="70">
        <v>1582</v>
      </c>
      <c r="D1583" s="65">
        <v>200</v>
      </c>
      <c r="E1583" s="66">
        <v>200</v>
      </c>
      <c r="F1583" s="85">
        <v>45769</v>
      </c>
      <c r="G1583" s="64" t="s">
        <v>848</v>
      </c>
      <c r="H1583"/>
      <c r="I1583"/>
    </row>
    <row r="1584" spans="1:9" x14ac:dyDescent="0.35">
      <c r="A1584" s="71">
        <f t="shared" si="49"/>
        <v>107340.09999999998</v>
      </c>
      <c r="B1584" s="72">
        <f t="shared" si="48"/>
        <v>-75</v>
      </c>
      <c r="C1584" s="70">
        <v>1583</v>
      </c>
      <c r="E1584" s="66">
        <v>75</v>
      </c>
      <c r="F1584" s="85">
        <v>45769</v>
      </c>
      <c r="G1584" s="64" t="s">
        <v>476</v>
      </c>
      <c r="H1584"/>
      <c r="I1584"/>
    </row>
    <row r="1585" spans="1:9" x14ac:dyDescent="0.35">
      <c r="A1585" s="71">
        <f t="shared" si="49"/>
        <v>107221.09999999998</v>
      </c>
      <c r="B1585" s="72">
        <f t="shared" si="48"/>
        <v>-119</v>
      </c>
      <c r="C1585" s="70">
        <v>1584</v>
      </c>
      <c r="E1585" s="66">
        <v>119</v>
      </c>
      <c r="F1585" s="85">
        <v>45769</v>
      </c>
      <c r="G1585" s="64" t="s">
        <v>65</v>
      </c>
      <c r="H1585"/>
      <c r="I1585"/>
    </row>
    <row r="1586" spans="1:9" x14ac:dyDescent="0.35">
      <c r="A1586" s="71">
        <f t="shared" si="49"/>
        <v>106471.09999999998</v>
      </c>
      <c r="B1586" s="72">
        <f t="shared" si="48"/>
        <v>-750</v>
      </c>
      <c r="C1586" s="70">
        <v>1585</v>
      </c>
      <c r="E1586" s="66">
        <v>750</v>
      </c>
      <c r="F1586" s="85">
        <v>45769</v>
      </c>
      <c r="G1586" s="64" t="s">
        <v>864</v>
      </c>
      <c r="H1586"/>
      <c r="I1586"/>
    </row>
    <row r="1587" spans="1:9" x14ac:dyDescent="0.35">
      <c r="A1587" s="71">
        <f t="shared" si="49"/>
        <v>120031.09999999998</v>
      </c>
      <c r="B1587" s="72">
        <f t="shared" si="48"/>
        <v>13560</v>
      </c>
      <c r="C1587" s="70">
        <v>1586</v>
      </c>
      <c r="D1587" s="65">
        <v>13560</v>
      </c>
      <c r="F1587" s="85">
        <v>45770</v>
      </c>
      <c r="G1587" s="64" t="s">
        <v>865</v>
      </c>
      <c r="H1587"/>
      <c r="I1587"/>
    </row>
    <row r="1588" spans="1:9" x14ac:dyDescent="0.35">
      <c r="A1588" s="71">
        <f t="shared" si="49"/>
        <v>117531.09999999998</v>
      </c>
      <c r="B1588" s="72">
        <f t="shared" si="48"/>
        <v>-2500</v>
      </c>
      <c r="C1588" s="70">
        <v>1587</v>
      </c>
      <c r="E1588" s="66">
        <v>2500</v>
      </c>
      <c r="F1588" s="85">
        <v>45770</v>
      </c>
      <c r="G1588" s="64" t="s">
        <v>866</v>
      </c>
      <c r="H1588"/>
      <c r="I1588"/>
    </row>
    <row r="1589" spans="1:9" x14ac:dyDescent="0.35">
      <c r="A1589" s="71">
        <f t="shared" si="49"/>
        <v>107531.09999999998</v>
      </c>
      <c r="B1589" s="72">
        <f t="shared" si="48"/>
        <v>-10000</v>
      </c>
      <c r="C1589" s="70">
        <v>1588</v>
      </c>
      <c r="E1589" s="66">
        <v>10000</v>
      </c>
      <c r="F1589" s="85">
        <v>45771</v>
      </c>
      <c r="G1589" s="64" t="s">
        <v>867</v>
      </c>
      <c r="H1589"/>
      <c r="I1589"/>
    </row>
    <row r="1590" spans="1:9" x14ac:dyDescent="0.35">
      <c r="A1590" s="71">
        <f t="shared" si="49"/>
        <v>110206.09999999998</v>
      </c>
      <c r="B1590" s="72">
        <f t="shared" si="48"/>
        <v>2675</v>
      </c>
      <c r="C1590" s="70">
        <v>1589</v>
      </c>
      <c r="D1590" s="65">
        <v>2975</v>
      </c>
      <c r="E1590" s="66">
        <v>300</v>
      </c>
      <c r="F1590" s="85">
        <v>45771</v>
      </c>
      <c r="G1590" s="64" t="s">
        <v>868</v>
      </c>
      <c r="H1590"/>
      <c r="I1590"/>
    </row>
    <row r="1591" spans="1:9" x14ac:dyDescent="0.35">
      <c r="A1591" s="71">
        <f t="shared" si="49"/>
        <v>110196.09999999998</v>
      </c>
      <c r="B1591" s="72">
        <f t="shared" si="48"/>
        <v>-10</v>
      </c>
      <c r="C1591" s="70">
        <v>1590</v>
      </c>
      <c r="E1591" s="66">
        <v>10</v>
      </c>
      <c r="F1591" s="85">
        <v>45771</v>
      </c>
      <c r="G1591" s="64" t="s">
        <v>128</v>
      </c>
      <c r="H1591"/>
      <c r="I1591"/>
    </row>
    <row r="1592" spans="1:9" x14ac:dyDescent="0.35">
      <c r="A1592" s="71">
        <f t="shared" si="49"/>
        <v>109921.09999999998</v>
      </c>
      <c r="B1592" s="72">
        <f t="shared" si="48"/>
        <v>-275</v>
      </c>
      <c r="C1592" s="70">
        <v>1591</v>
      </c>
      <c r="E1592" s="66">
        <v>275</v>
      </c>
      <c r="F1592" s="85">
        <v>45771</v>
      </c>
      <c r="G1592" s="64" t="s">
        <v>50</v>
      </c>
      <c r="H1592"/>
      <c r="I1592"/>
    </row>
    <row r="1593" spans="1:9" x14ac:dyDescent="0.35">
      <c r="A1593" s="71">
        <f t="shared" si="49"/>
        <v>109846.09999999998</v>
      </c>
      <c r="B1593" s="72">
        <f t="shared" si="48"/>
        <v>-75</v>
      </c>
      <c r="C1593" s="70">
        <v>1592</v>
      </c>
      <c r="E1593" s="66">
        <v>75</v>
      </c>
      <c r="F1593" s="85">
        <v>45771</v>
      </c>
      <c r="G1593" s="64" t="s">
        <v>484</v>
      </c>
      <c r="H1593"/>
      <c r="I1593"/>
    </row>
    <row r="1594" spans="1:9" x14ac:dyDescent="0.35">
      <c r="A1594" s="71">
        <f t="shared" si="49"/>
        <v>106396.09999999998</v>
      </c>
      <c r="B1594" s="72">
        <f t="shared" si="48"/>
        <v>-3450</v>
      </c>
      <c r="C1594" s="70">
        <v>1593</v>
      </c>
      <c r="E1594" s="66">
        <v>3450</v>
      </c>
      <c r="F1594" s="85">
        <v>45773</v>
      </c>
      <c r="G1594" s="64" t="s">
        <v>869</v>
      </c>
      <c r="H1594"/>
      <c r="I1594"/>
    </row>
    <row r="1595" spans="1:9" x14ac:dyDescent="0.35">
      <c r="A1595" s="71">
        <f t="shared" si="49"/>
        <v>114696.09999999998</v>
      </c>
      <c r="B1595" s="72">
        <f t="shared" si="48"/>
        <v>8300</v>
      </c>
      <c r="C1595" s="70">
        <v>1594</v>
      </c>
      <c r="D1595" s="65">
        <v>8850</v>
      </c>
      <c r="E1595" s="66">
        <v>550</v>
      </c>
      <c r="F1595" s="85">
        <v>45773</v>
      </c>
      <c r="G1595" s="64" t="s">
        <v>874</v>
      </c>
      <c r="H1595"/>
      <c r="I1595"/>
    </row>
    <row r="1596" spans="1:9" x14ac:dyDescent="0.35">
      <c r="A1596" s="71">
        <f t="shared" si="49"/>
        <v>113196.09999999998</v>
      </c>
      <c r="B1596" s="72">
        <f t="shared" si="48"/>
        <v>-1500</v>
      </c>
      <c r="C1596" s="70">
        <v>1595</v>
      </c>
      <c r="E1596" s="66">
        <v>1500</v>
      </c>
      <c r="F1596" s="85">
        <v>45773</v>
      </c>
      <c r="G1596" s="64" t="s">
        <v>870</v>
      </c>
      <c r="H1596"/>
      <c r="I1596"/>
    </row>
    <row r="1597" spans="1:9" x14ac:dyDescent="0.35">
      <c r="A1597" s="71">
        <f t="shared" si="49"/>
        <v>111696.09999999998</v>
      </c>
      <c r="B1597" s="72">
        <f t="shared" si="48"/>
        <v>-1500</v>
      </c>
      <c r="C1597" s="70">
        <v>1596</v>
      </c>
      <c r="E1597" s="66">
        <v>1500</v>
      </c>
      <c r="F1597" s="85">
        <v>45773</v>
      </c>
      <c r="G1597" s="64" t="s">
        <v>871</v>
      </c>
      <c r="H1597"/>
      <c r="I1597"/>
    </row>
    <row r="1598" spans="1:9" x14ac:dyDescent="0.35">
      <c r="A1598" s="71">
        <f t="shared" si="49"/>
        <v>111496.09999999998</v>
      </c>
      <c r="B1598" s="72">
        <f t="shared" si="48"/>
        <v>-200</v>
      </c>
      <c r="C1598" s="70">
        <v>1597</v>
      </c>
      <c r="E1598" s="66">
        <v>200</v>
      </c>
      <c r="F1598" s="85">
        <v>45774</v>
      </c>
      <c r="G1598" s="64" t="s">
        <v>872</v>
      </c>
      <c r="H1598"/>
      <c r="I1598"/>
    </row>
    <row r="1599" spans="1:9" x14ac:dyDescent="0.35">
      <c r="A1599" s="71">
        <f t="shared" si="49"/>
        <v>122861.09999999998</v>
      </c>
      <c r="B1599" s="72">
        <f t="shared" si="48"/>
        <v>11365</v>
      </c>
      <c r="C1599" s="70">
        <v>1598</v>
      </c>
      <c r="D1599" s="65">
        <v>11365</v>
      </c>
      <c r="F1599" s="85">
        <v>45774</v>
      </c>
      <c r="G1599" s="64" t="s">
        <v>12</v>
      </c>
      <c r="H1599"/>
      <c r="I1599"/>
    </row>
    <row r="1600" spans="1:9" x14ac:dyDescent="0.35">
      <c r="A1600" s="71">
        <f t="shared" si="49"/>
        <v>122681.09999999998</v>
      </c>
      <c r="B1600" s="72">
        <f t="shared" si="48"/>
        <v>-180</v>
      </c>
      <c r="C1600" s="70">
        <v>1599</v>
      </c>
      <c r="E1600" s="66">
        <v>180</v>
      </c>
      <c r="F1600" s="85">
        <v>45774</v>
      </c>
      <c r="G1600" s="64" t="s">
        <v>0</v>
      </c>
      <c r="H1600"/>
      <c r="I1600"/>
    </row>
    <row r="1601" spans="1:9" x14ac:dyDescent="0.35">
      <c r="A1601" s="71">
        <f t="shared" si="49"/>
        <v>121531.09999999998</v>
      </c>
      <c r="B1601" s="72">
        <f t="shared" si="48"/>
        <v>-1150</v>
      </c>
      <c r="C1601" s="70">
        <v>1600</v>
      </c>
      <c r="E1601" s="66">
        <v>1150</v>
      </c>
      <c r="F1601" s="85">
        <v>45774</v>
      </c>
      <c r="G1601" s="64" t="s">
        <v>876</v>
      </c>
      <c r="H1601"/>
      <c r="I1601"/>
    </row>
    <row r="1602" spans="1:9" x14ac:dyDescent="0.35">
      <c r="A1602" s="71">
        <f t="shared" si="49"/>
        <v>121381.09999999998</v>
      </c>
      <c r="B1602" s="72">
        <f t="shared" si="48"/>
        <v>-150</v>
      </c>
      <c r="C1602" s="70">
        <v>1601</v>
      </c>
      <c r="E1602" s="66">
        <v>150</v>
      </c>
      <c r="F1602" s="85">
        <v>45774</v>
      </c>
      <c r="G1602" s="64" t="s">
        <v>873</v>
      </c>
      <c r="H1602"/>
      <c r="I1602"/>
    </row>
    <row r="1603" spans="1:9" x14ac:dyDescent="0.35">
      <c r="A1603" s="71">
        <f t="shared" si="49"/>
        <v>121296.09999999998</v>
      </c>
      <c r="B1603" s="72">
        <f t="shared" ref="B1603:B1666" si="50">SUM(D1603-E1603)</f>
        <v>-85</v>
      </c>
      <c r="C1603" s="70">
        <v>1602</v>
      </c>
      <c r="E1603" s="66">
        <v>85</v>
      </c>
      <c r="F1603" s="85">
        <v>45774</v>
      </c>
      <c r="G1603" s="64" t="s">
        <v>400</v>
      </c>
      <c r="H1603"/>
      <c r="I1603"/>
    </row>
    <row r="1604" spans="1:9" x14ac:dyDescent="0.35">
      <c r="A1604" s="71">
        <f t="shared" ref="A1604:A1667" si="51">SUM(A1603+B1604)</f>
        <v>125146.09999999998</v>
      </c>
      <c r="B1604" s="72">
        <f t="shared" si="50"/>
        <v>3850</v>
      </c>
      <c r="C1604" s="70">
        <v>1603</v>
      </c>
      <c r="D1604" s="65">
        <v>3850</v>
      </c>
      <c r="F1604" s="85">
        <v>45775</v>
      </c>
      <c r="G1604" s="64" t="s">
        <v>12</v>
      </c>
      <c r="H1604"/>
      <c r="I1604"/>
    </row>
    <row r="1605" spans="1:9" x14ac:dyDescent="0.35">
      <c r="A1605" s="71">
        <f t="shared" si="51"/>
        <v>124988.09999999998</v>
      </c>
      <c r="B1605" s="72">
        <f t="shared" si="50"/>
        <v>-158</v>
      </c>
      <c r="C1605" s="70">
        <v>1604</v>
      </c>
      <c r="E1605" s="66">
        <v>158</v>
      </c>
      <c r="F1605" s="85">
        <v>45775</v>
      </c>
      <c r="G1605" s="64" t="s">
        <v>878</v>
      </c>
      <c r="H1605"/>
      <c r="I1605"/>
    </row>
    <row r="1606" spans="1:9" x14ac:dyDescent="0.35">
      <c r="A1606" s="71">
        <f t="shared" si="51"/>
        <v>124968.09999999998</v>
      </c>
      <c r="B1606" s="72">
        <f t="shared" si="50"/>
        <v>-20</v>
      </c>
      <c r="C1606" s="70">
        <v>1605</v>
      </c>
      <c r="E1606" s="66">
        <v>20</v>
      </c>
      <c r="F1606" s="85">
        <v>45775</v>
      </c>
      <c r="G1606" s="64" t="s">
        <v>875</v>
      </c>
      <c r="H1606"/>
      <c r="I1606"/>
    </row>
    <row r="1607" spans="1:9" x14ac:dyDescent="0.35">
      <c r="A1607" s="71">
        <f t="shared" si="51"/>
        <v>119968.09999999998</v>
      </c>
      <c r="B1607" s="72">
        <f t="shared" si="50"/>
        <v>-5000</v>
      </c>
      <c r="C1607" s="70">
        <v>1606</v>
      </c>
      <c r="E1607" s="66">
        <v>5000</v>
      </c>
      <c r="F1607" s="85">
        <v>45776</v>
      </c>
      <c r="G1607" s="64" t="s">
        <v>877</v>
      </c>
      <c r="H1607"/>
      <c r="I1607"/>
    </row>
    <row r="1608" spans="1:9" x14ac:dyDescent="0.35">
      <c r="A1608" s="71">
        <f t="shared" si="51"/>
        <v>119968.09999999998</v>
      </c>
      <c r="B1608" s="72">
        <f t="shared" si="50"/>
        <v>0</v>
      </c>
      <c r="C1608" s="70">
        <v>1607</v>
      </c>
      <c r="D1608" s="65">
        <v>500</v>
      </c>
      <c r="E1608" s="66">
        <v>500</v>
      </c>
      <c r="F1608" s="85">
        <v>45776</v>
      </c>
      <c r="G1608" s="64" t="s">
        <v>1020</v>
      </c>
      <c r="H1608"/>
      <c r="I1608"/>
    </row>
    <row r="1609" spans="1:9" x14ac:dyDescent="0.35">
      <c r="A1609" s="71">
        <f t="shared" si="51"/>
        <v>119893.09999999998</v>
      </c>
      <c r="B1609" s="72">
        <f t="shared" si="50"/>
        <v>-75</v>
      </c>
      <c r="C1609" s="70">
        <v>1608</v>
      </c>
      <c r="E1609" s="66">
        <v>75</v>
      </c>
      <c r="F1609" s="85">
        <v>45776</v>
      </c>
      <c r="G1609" s="64" t="s">
        <v>626</v>
      </c>
      <c r="H1609"/>
      <c r="I1609"/>
    </row>
    <row r="1610" spans="1:9" x14ac:dyDescent="0.35">
      <c r="A1610" s="71">
        <f t="shared" si="51"/>
        <v>119573.09999999998</v>
      </c>
      <c r="B1610" s="72">
        <f t="shared" si="50"/>
        <v>-320</v>
      </c>
      <c r="C1610" s="70">
        <v>1609</v>
      </c>
      <c r="E1610" s="66">
        <v>320</v>
      </c>
      <c r="F1610" s="85">
        <v>45776</v>
      </c>
      <c r="G1610" s="64" t="s">
        <v>75</v>
      </c>
      <c r="H1610"/>
      <c r="I1610"/>
    </row>
    <row r="1611" spans="1:9" x14ac:dyDescent="0.35">
      <c r="A1611" s="71">
        <f t="shared" si="51"/>
        <v>154208.09999999998</v>
      </c>
      <c r="B1611" s="72">
        <f t="shared" si="50"/>
        <v>34635</v>
      </c>
      <c r="C1611" s="70">
        <v>1610</v>
      </c>
      <c r="D1611" s="65">
        <v>34635</v>
      </c>
      <c r="F1611" s="85">
        <v>45776</v>
      </c>
      <c r="G1611" s="64" t="s">
        <v>410</v>
      </c>
      <c r="H1611"/>
      <c r="I1611"/>
    </row>
    <row r="1612" spans="1:9" x14ac:dyDescent="0.35">
      <c r="A1612" s="71">
        <f t="shared" si="51"/>
        <v>153608.09999999998</v>
      </c>
      <c r="B1612" s="72">
        <f t="shared" si="50"/>
        <v>-600</v>
      </c>
      <c r="C1612" s="70">
        <v>1611</v>
      </c>
      <c r="E1612" s="66">
        <v>600</v>
      </c>
      <c r="F1612" s="85">
        <v>45776</v>
      </c>
      <c r="G1612" s="64" t="s">
        <v>879</v>
      </c>
      <c r="H1612"/>
      <c r="I1612"/>
    </row>
    <row r="1613" spans="1:9" x14ac:dyDescent="0.35">
      <c r="A1613" s="71">
        <f t="shared" si="51"/>
        <v>149208.09999999998</v>
      </c>
      <c r="B1613" s="72">
        <f t="shared" si="50"/>
        <v>-4400</v>
      </c>
      <c r="C1613" s="70">
        <v>1612</v>
      </c>
      <c r="E1613" s="66">
        <v>4400</v>
      </c>
      <c r="F1613" s="85">
        <v>45776</v>
      </c>
      <c r="G1613" s="64" t="s">
        <v>880</v>
      </c>
      <c r="H1613"/>
      <c r="I1613"/>
    </row>
    <row r="1614" spans="1:9" x14ac:dyDescent="0.35">
      <c r="A1614" s="71">
        <f t="shared" si="51"/>
        <v>148908.09999999998</v>
      </c>
      <c r="B1614" s="72">
        <f t="shared" si="50"/>
        <v>-300</v>
      </c>
      <c r="C1614" s="70">
        <v>1613</v>
      </c>
      <c r="E1614" s="66">
        <v>300</v>
      </c>
      <c r="F1614" s="85">
        <v>45777</v>
      </c>
      <c r="G1614" s="64" t="s">
        <v>881</v>
      </c>
      <c r="H1614"/>
      <c r="I1614"/>
    </row>
    <row r="1615" spans="1:9" x14ac:dyDescent="0.35">
      <c r="A1615" s="71">
        <f t="shared" si="51"/>
        <v>127858.09999999998</v>
      </c>
      <c r="B1615" s="72">
        <f t="shared" si="50"/>
        <v>-21050</v>
      </c>
      <c r="C1615" s="70">
        <v>1614</v>
      </c>
      <c r="E1615" s="66">
        <v>21050</v>
      </c>
      <c r="F1615" s="85">
        <v>45777</v>
      </c>
      <c r="G1615" s="64" t="s">
        <v>146</v>
      </c>
      <c r="H1615"/>
      <c r="I1615"/>
    </row>
    <row r="1616" spans="1:9" x14ac:dyDescent="0.35">
      <c r="A1616" s="71">
        <f t="shared" si="51"/>
        <v>125448.09999999998</v>
      </c>
      <c r="B1616" s="72">
        <f t="shared" si="50"/>
        <v>-2410</v>
      </c>
      <c r="C1616" s="70">
        <v>1615</v>
      </c>
      <c r="E1616" s="66">
        <v>2410</v>
      </c>
      <c r="F1616" s="85">
        <v>45777</v>
      </c>
      <c r="G1616" s="64" t="s">
        <v>882</v>
      </c>
      <c r="H1616"/>
      <c r="I1616"/>
    </row>
    <row r="1617" spans="1:9" x14ac:dyDescent="0.35">
      <c r="A1617" s="71">
        <f t="shared" si="51"/>
        <v>142852.09999999998</v>
      </c>
      <c r="B1617" s="72">
        <f t="shared" si="50"/>
        <v>17404</v>
      </c>
      <c r="C1617" s="70">
        <v>1616</v>
      </c>
      <c r="D1617" s="65">
        <v>17560</v>
      </c>
      <c r="E1617" s="66">
        <v>156</v>
      </c>
      <c r="F1617" s="85">
        <v>45777</v>
      </c>
      <c r="G1617" s="64" t="s">
        <v>883</v>
      </c>
      <c r="H1617"/>
      <c r="I1617"/>
    </row>
    <row r="1618" spans="1:9" x14ac:dyDescent="0.35">
      <c r="A1618" s="71">
        <f t="shared" si="51"/>
        <v>105978.09999999998</v>
      </c>
      <c r="B1618" s="72">
        <f t="shared" si="50"/>
        <v>-36874</v>
      </c>
      <c r="C1618" s="70">
        <v>1617</v>
      </c>
      <c r="E1618" s="66">
        <v>36874</v>
      </c>
      <c r="F1618" s="85">
        <v>45777</v>
      </c>
      <c r="G1618" s="64" t="s">
        <v>784</v>
      </c>
      <c r="H1618"/>
      <c r="I1618"/>
    </row>
    <row r="1619" spans="1:9" x14ac:dyDescent="0.35">
      <c r="A1619" s="71">
        <f t="shared" si="51"/>
        <v>104978.09999999998</v>
      </c>
      <c r="B1619" s="72">
        <f t="shared" si="50"/>
        <v>-1000</v>
      </c>
      <c r="C1619" s="70">
        <v>1618</v>
      </c>
      <c r="E1619" s="66">
        <v>1000</v>
      </c>
      <c r="F1619" s="85">
        <v>45778</v>
      </c>
      <c r="G1619" s="64" t="s">
        <v>87</v>
      </c>
      <c r="H1619"/>
      <c r="I1619"/>
    </row>
    <row r="1620" spans="1:9" x14ac:dyDescent="0.35">
      <c r="A1620" s="71">
        <f t="shared" si="51"/>
        <v>105953.09999999998</v>
      </c>
      <c r="B1620" s="72">
        <f t="shared" si="50"/>
        <v>975</v>
      </c>
      <c r="C1620" s="70">
        <v>1619</v>
      </c>
      <c r="D1620" s="65">
        <v>975</v>
      </c>
      <c r="F1620" s="85">
        <v>45778</v>
      </c>
      <c r="G1620" s="64" t="s">
        <v>833</v>
      </c>
      <c r="H1620"/>
      <c r="I1620"/>
    </row>
    <row r="1621" spans="1:9" x14ac:dyDescent="0.35">
      <c r="A1621" s="71">
        <f t="shared" si="51"/>
        <v>80041.099999999977</v>
      </c>
      <c r="B1621" s="72">
        <f t="shared" si="50"/>
        <v>-25912</v>
      </c>
      <c r="C1621" s="70">
        <v>1620</v>
      </c>
      <c r="E1621" s="66">
        <v>25912</v>
      </c>
      <c r="F1621" s="85">
        <v>45778</v>
      </c>
      <c r="G1621" s="64" t="s">
        <v>156</v>
      </c>
      <c r="H1621"/>
      <c r="I1621"/>
    </row>
    <row r="1622" spans="1:9" x14ac:dyDescent="0.35">
      <c r="A1622" s="71">
        <f t="shared" si="51"/>
        <v>82411.099999999977</v>
      </c>
      <c r="B1622" s="72">
        <f t="shared" si="50"/>
        <v>2370</v>
      </c>
      <c r="C1622" s="70">
        <v>1621</v>
      </c>
      <c r="D1622" s="65">
        <v>2520</v>
      </c>
      <c r="E1622" s="66">
        <v>150</v>
      </c>
      <c r="F1622" s="85">
        <v>45780</v>
      </c>
      <c r="G1622" s="64" t="s">
        <v>552</v>
      </c>
      <c r="H1622"/>
      <c r="I1622"/>
    </row>
    <row r="1623" spans="1:9" x14ac:dyDescent="0.35">
      <c r="A1623" s="71">
        <f t="shared" si="51"/>
        <v>82103.099999999977</v>
      </c>
      <c r="B1623" s="72">
        <f t="shared" si="50"/>
        <v>-308</v>
      </c>
      <c r="C1623" s="70">
        <v>1622</v>
      </c>
      <c r="E1623" s="66">
        <v>308</v>
      </c>
      <c r="F1623" s="85">
        <v>45780</v>
      </c>
      <c r="G1623" s="64" t="s">
        <v>486</v>
      </c>
      <c r="H1623"/>
      <c r="I1623"/>
    </row>
    <row r="1624" spans="1:9" x14ac:dyDescent="0.35">
      <c r="A1624" s="71">
        <f t="shared" si="51"/>
        <v>65883.099999999977</v>
      </c>
      <c r="B1624" s="72">
        <f t="shared" si="50"/>
        <v>-16220</v>
      </c>
      <c r="C1624" s="70">
        <v>1623</v>
      </c>
      <c r="D1624" s="65">
        <v>8780</v>
      </c>
      <c r="E1624" s="66">
        <v>25000</v>
      </c>
      <c r="F1624" s="85">
        <v>45780</v>
      </c>
      <c r="G1624" s="64" t="s">
        <v>884</v>
      </c>
      <c r="H1624"/>
      <c r="I1624"/>
    </row>
    <row r="1625" spans="1:9" x14ac:dyDescent="0.35">
      <c r="A1625" s="71">
        <f t="shared" si="51"/>
        <v>65843.099999999977</v>
      </c>
      <c r="B1625" s="72">
        <f t="shared" si="50"/>
        <v>-40</v>
      </c>
      <c r="C1625" s="70">
        <v>1624</v>
      </c>
      <c r="E1625" s="66">
        <v>40</v>
      </c>
      <c r="F1625" s="85">
        <v>45780</v>
      </c>
      <c r="G1625" s="64" t="s">
        <v>885</v>
      </c>
      <c r="H1625"/>
      <c r="I1625"/>
    </row>
    <row r="1626" spans="1:9" x14ac:dyDescent="0.35">
      <c r="A1626" s="71">
        <f t="shared" si="51"/>
        <v>39243.099999999977</v>
      </c>
      <c r="B1626" s="72">
        <f t="shared" si="50"/>
        <v>-26600</v>
      </c>
      <c r="C1626" s="70">
        <v>1625</v>
      </c>
      <c r="E1626" s="66">
        <v>26600</v>
      </c>
      <c r="F1626" s="85">
        <v>45781</v>
      </c>
      <c r="G1626" s="64" t="s">
        <v>15</v>
      </c>
      <c r="H1626"/>
      <c r="I1626"/>
    </row>
    <row r="1627" spans="1:9" x14ac:dyDescent="0.35">
      <c r="A1627" s="71">
        <f t="shared" si="51"/>
        <v>38983.099999999977</v>
      </c>
      <c r="B1627" s="72">
        <f t="shared" si="50"/>
        <v>-260</v>
      </c>
      <c r="C1627" s="70">
        <v>1626</v>
      </c>
      <c r="E1627" s="66">
        <v>260</v>
      </c>
      <c r="F1627" s="85">
        <v>45781</v>
      </c>
      <c r="G1627" s="64" t="s">
        <v>886</v>
      </c>
      <c r="H1627"/>
      <c r="I1627"/>
    </row>
    <row r="1628" spans="1:9" x14ac:dyDescent="0.35">
      <c r="A1628" s="71">
        <f t="shared" si="51"/>
        <v>38563.099999999977</v>
      </c>
      <c r="B1628" s="72">
        <f t="shared" si="50"/>
        <v>-420</v>
      </c>
      <c r="C1628" s="70">
        <v>1627</v>
      </c>
      <c r="E1628" s="66">
        <v>420</v>
      </c>
      <c r="F1628" s="85">
        <v>45781</v>
      </c>
      <c r="G1628" s="64" t="s">
        <v>887</v>
      </c>
      <c r="H1628"/>
      <c r="I1628"/>
    </row>
    <row r="1629" spans="1:9" x14ac:dyDescent="0.35">
      <c r="A1629" s="71">
        <f t="shared" si="51"/>
        <v>56113.099999999977</v>
      </c>
      <c r="B1629" s="72">
        <f t="shared" si="50"/>
        <v>17550</v>
      </c>
      <c r="C1629" s="70">
        <v>1628</v>
      </c>
      <c r="D1629" s="65">
        <v>17810</v>
      </c>
      <c r="E1629" s="66">
        <v>260</v>
      </c>
      <c r="F1629" s="85">
        <v>45781</v>
      </c>
      <c r="G1629" s="64" t="s">
        <v>304</v>
      </c>
      <c r="H1629"/>
      <c r="I1629"/>
    </row>
    <row r="1630" spans="1:9" x14ac:dyDescent="0.35">
      <c r="A1630" s="71">
        <f t="shared" si="51"/>
        <v>55983.099999999977</v>
      </c>
      <c r="B1630" s="72">
        <f t="shared" si="50"/>
        <v>-130</v>
      </c>
      <c r="C1630" s="70">
        <v>1629</v>
      </c>
      <c r="E1630" s="66">
        <v>130</v>
      </c>
      <c r="F1630" s="85">
        <v>45781</v>
      </c>
      <c r="G1630" s="64" t="s">
        <v>2</v>
      </c>
      <c r="H1630"/>
      <c r="I1630"/>
    </row>
    <row r="1631" spans="1:9" x14ac:dyDescent="0.35">
      <c r="A1631" s="71">
        <f t="shared" si="51"/>
        <v>55833.099999999977</v>
      </c>
      <c r="B1631" s="72">
        <f t="shared" si="50"/>
        <v>-150</v>
      </c>
      <c r="C1631" s="70">
        <v>1630</v>
      </c>
      <c r="E1631" s="66">
        <v>150</v>
      </c>
      <c r="F1631" s="85">
        <v>45781</v>
      </c>
      <c r="G1631" s="64" t="s">
        <v>448</v>
      </c>
      <c r="H1631"/>
      <c r="I1631"/>
    </row>
    <row r="1632" spans="1:9" x14ac:dyDescent="0.35">
      <c r="A1632" s="71">
        <f t="shared" si="51"/>
        <v>55843.099999999977</v>
      </c>
      <c r="B1632" s="72">
        <f t="shared" si="50"/>
        <v>10</v>
      </c>
      <c r="C1632" s="70">
        <v>1631</v>
      </c>
      <c r="D1632" s="65">
        <v>10</v>
      </c>
      <c r="F1632" s="85">
        <v>45781</v>
      </c>
      <c r="G1632" s="64" t="s">
        <v>721</v>
      </c>
      <c r="H1632"/>
      <c r="I1632"/>
    </row>
    <row r="1633" spans="1:9" x14ac:dyDescent="0.35">
      <c r="A1633" s="71">
        <f t="shared" si="51"/>
        <v>36593.099999999977</v>
      </c>
      <c r="B1633" s="72">
        <f t="shared" si="50"/>
        <v>-19250</v>
      </c>
      <c r="C1633" s="70">
        <v>1632</v>
      </c>
      <c r="E1633" s="66">
        <v>19250</v>
      </c>
      <c r="F1633" s="85">
        <v>45782</v>
      </c>
      <c r="G1633" s="64" t="s">
        <v>17</v>
      </c>
      <c r="H1633"/>
      <c r="I1633"/>
    </row>
    <row r="1634" spans="1:9" x14ac:dyDescent="0.35">
      <c r="A1634" s="71">
        <f t="shared" si="51"/>
        <v>35853.099999999977</v>
      </c>
      <c r="B1634" s="72">
        <f t="shared" si="50"/>
        <v>-740</v>
      </c>
      <c r="C1634" s="70">
        <v>1633</v>
      </c>
      <c r="E1634" s="66">
        <v>740</v>
      </c>
      <c r="F1634" s="85">
        <v>45782</v>
      </c>
      <c r="G1634" s="64" t="s">
        <v>619</v>
      </c>
      <c r="H1634"/>
      <c r="I1634"/>
    </row>
    <row r="1635" spans="1:9" x14ac:dyDescent="0.35">
      <c r="A1635" s="71">
        <f t="shared" si="51"/>
        <v>35403.099999999977</v>
      </c>
      <c r="B1635" s="72">
        <f t="shared" si="50"/>
        <v>-450</v>
      </c>
      <c r="C1635" s="70">
        <v>1634</v>
      </c>
      <c r="E1635" s="66">
        <v>450</v>
      </c>
      <c r="F1635" s="85">
        <v>45782</v>
      </c>
      <c r="G1635" s="64" t="s">
        <v>888</v>
      </c>
      <c r="H1635"/>
      <c r="I1635"/>
    </row>
    <row r="1636" spans="1:9" x14ac:dyDescent="0.35">
      <c r="A1636" s="71">
        <f t="shared" si="51"/>
        <v>37753.099999999977</v>
      </c>
      <c r="B1636" s="72">
        <f t="shared" si="50"/>
        <v>2350</v>
      </c>
      <c r="C1636" s="70">
        <v>1635</v>
      </c>
      <c r="D1636" s="65">
        <v>2350</v>
      </c>
      <c r="F1636" s="85">
        <v>45782</v>
      </c>
      <c r="G1636" s="64" t="s">
        <v>410</v>
      </c>
      <c r="H1636"/>
      <c r="I1636"/>
    </row>
    <row r="1637" spans="1:9" x14ac:dyDescent="0.35">
      <c r="A1637" s="71">
        <f t="shared" si="51"/>
        <v>37583.099999999977</v>
      </c>
      <c r="B1637" s="72">
        <f t="shared" si="50"/>
        <v>-170</v>
      </c>
      <c r="C1637" s="70">
        <v>1636</v>
      </c>
      <c r="E1637" s="66">
        <v>170</v>
      </c>
      <c r="F1637" s="85">
        <v>45782</v>
      </c>
      <c r="G1637" s="64" t="s">
        <v>624</v>
      </c>
      <c r="H1637"/>
      <c r="I1637"/>
    </row>
    <row r="1638" spans="1:9" x14ac:dyDescent="0.35">
      <c r="A1638" s="71">
        <f t="shared" si="51"/>
        <v>37563.099999999977</v>
      </c>
      <c r="B1638" s="72">
        <f t="shared" si="50"/>
        <v>-20</v>
      </c>
      <c r="C1638" s="70">
        <v>1637</v>
      </c>
      <c r="E1638" s="66">
        <v>20</v>
      </c>
      <c r="F1638" s="85">
        <v>45782</v>
      </c>
      <c r="G1638" s="64" t="s">
        <v>296</v>
      </c>
      <c r="H1638"/>
      <c r="I1638"/>
    </row>
    <row r="1639" spans="1:9" x14ac:dyDescent="0.35">
      <c r="A1639" s="71">
        <f t="shared" si="51"/>
        <v>37489.099999999977</v>
      </c>
      <c r="B1639" s="72">
        <f t="shared" si="50"/>
        <v>-74</v>
      </c>
      <c r="C1639" s="70">
        <v>1638</v>
      </c>
      <c r="E1639" s="66">
        <v>74</v>
      </c>
      <c r="F1639" s="85">
        <v>45782</v>
      </c>
      <c r="G1639" s="64" t="s">
        <v>889</v>
      </c>
      <c r="H1639"/>
      <c r="I1639"/>
    </row>
    <row r="1640" spans="1:9" x14ac:dyDescent="0.35">
      <c r="A1640" s="71">
        <f t="shared" si="51"/>
        <v>25189.099999999977</v>
      </c>
      <c r="B1640" s="72">
        <f t="shared" si="50"/>
        <v>-12300</v>
      </c>
      <c r="C1640" s="70">
        <v>1639</v>
      </c>
      <c r="E1640" s="66">
        <v>12300</v>
      </c>
      <c r="F1640" s="85">
        <v>45783</v>
      </c>
      <c r="G1640" s="64" t="s">
        <v>890</v>
      </c>
      <c r="H1640"/>
      <c r="I1640"/>
    </row>
    <row r="1641" spans="1:9" x14ac:dyDescent="0.35">
      <c r="A1641" s="71">
        <f t="shared" si="51"/>
        <v>24084.099999999977</v>
      </c>
      <c r="B1641" s="72">
        <f t="shared" si="50"/>
        <v>-1105</v>
      </c>
      <c r="C1641" s="70">
        <v>1640</v>
      </c>
      <c r="E1641" s="66">
        <v>1105</v>
      </c>
      <c r="F1641" s="85">
        <v>45783</v>
      </c>
      <c r="G1641" s="64" t="s">
        <v>891</v>
      </c>
      <c r="H1641"/>
      <c r="I1641"/>
    </row>
    <row r="1642" spans="1:9" x14ac:dyDescent="0.35">
      <c r="A1642" s="71">
        <f t="shared" si="51"/>
        <v>41374.099999999977</v>
      </c>
      <c r="B1642" s="72">
        <f t="shared" si="50"/>
        <v>17290</v>
      </c>
      <c r="C1642" s="70">
        <v>1641</v>
      </c>
      <c r="D1642" s="65">
        <v>17300</v>
      </c>
      <c r="E1642" s="66">
        <v>10</v>
      </c>
      <c r="F1642" s="85">
        <v>45783</v>
      </c>
      <c r="G1642" s="64" t="s">
        <v>892</v>
      </c>
      <c r="H1642"/>
      <c r="I1642"/>
    </row>
    <row r="1643" spans="1:9" x14ac:dyDescent="0.35">
      <c r="A1643" s="71">
        <f t="shared" si="51"/>
        <v>40824.099999999977</v>
      </c>
      <c r="B1643" s="72">
        <f t="shared" si="50"/>
        <v>-550</v>
      </c>
      <c r="C1643" s="70">
        <v>1642</v>
      </c>
      <c r="E1643" s="66">
        <v>550</v>
      </c>
      <c r="F1643" s="85">
        <v>45783</v>
      </c>
      <c r="G1643" s="64" t="s">
        <v>893</v>
      </c>
      <c r="H1643"/>
      <c r="I1643"/>
    </row>
    <row r="1644" spans="1:9" x14ac:dyDescent="0.35">
      <c r="A1644" s="71">
        <f t="shared" si="51"/>
        <v>40374.099999999977</v>
      </c>
      <c r="B1644" s="72">
        <f t="shared" si="50"/>
        <v>-450</v>
      </c>
      <c r="C1644" s="70">
        <v>1643</v>
      </c>
      <c r="E1644" s="66">
        <v>450</v>
      </c>
      <c r="F1644" s="85">
        <v>45783</v>
      </c>
      <c r="G1644" s="64" t="s">
        <v>895</v>
      </c>
      <c r="H1644"/>
      <c r="I1644"/>
    </row>
    <row r="1645" spans="1:9" x14ac:dyDescent="0.35">
      <c r="A1645" s="71">
        <f t="shared" si="51"/>
        <v>40249.099999999977</v>
      </c>
      <c r="B1645" s="72">
        <f t="shared" si="50"/>
        <v>-125</v>
      </c>
      <c r="C1645" s="70">
        <v>1644</v>
      </c>
      <c r="E1645" s="66">
        <v>125</v>
      </c>
      <c r="F1645" s="85">
        <v>45783</v>
      </c>
      <c r="G1645" s="64" t="s">
        <v>894</v>
      </c>
      <c r="H1645"/>
      <c r="I1645"/>
    </row>
    <row r="1646" spans="1:9" x14ac:dyDescent="0.35">
      <c r="A1646" s="71">
        <f t="shared" si="51"/>
        <v>39614.099999999977</v>
      </c>
      <c r="B1646" s="72">
        <f t="shared" si="50"/>
        <v>-635</v>
      </c>
      <c r="C1646" s="70">
        <v>1645</v>
      </c>
      <c r="E1646" s="66">
        <v>635</v>
      </c>
      <c r="F1646" s="85">
        <v>45783</v>
      </c>
      <c r="G1646" s="64" t="s">
        <v>905</v>
      </c>
      <c r="H1646"/>
      <c r="I1646"/>
    </row>
    <row r="1647" spans="1:9" x14ac:dyDescent="0.35">
      <c r="A1647" s="71">
        <f t="shared" si="51"/>
        <v>39614.099999999977</v>
      </c>
      <c r="B1647" s="72">
        <f t="shared" si="50"/>
        <v>0</v>
      </c>
      <c r="C1647" s="70">
        <v>1646</v>
      </c>
      <c r="D1647" s="65">
        <v>200</v>
      </c>
      <c r="E1647" s="66">
        <v>200</v>
      </c>
      <c r="F1647" s="85">
        <v>45783</v>
      </c>
      <c r="G1647" s="64" t="s">
        <v>943</v>
      </c>
      <c r="H1647"/>
      <c r="I1647"/>
    </row>
    <row r="1648" spans="1:9" x14ac:dyDescent="0.35">
      <c r="A1648" s="71">
        <f t="shared" si="51"/>
        <v>51934.099999999977</v>
      </c>
      <c r="B1648" s="72">
        <f t="shared" si="50"/>
        <v>12320</v>
      </c>
      <c r="C1648" s="70">
        <v>1647</v>
      </c>
      <c r="D1648" s="65">
        <v>13010</v>
      </c>
      <c r="E1648" s="66">
        <v>690</v>
      </c>
      <c r="F1648" s="85">
        <v>45784</v>
      </c>
      <c r="G1648" s="64" t="s">
        <v>897</v>
      </c>
      <c r="H1648"/>
      <c r="I1648"/>
    </row>
    <row r="1649" spans="1:9" x14ac:dyDescent="0.35">
      <c r="A1649" s="71">
        <f t="shared" si="51"/>
        <v>51939.099999999977</v>
      </c>
      <c r="B1649" s="72">
        <f t="shared" si="50"/>
        <v>5</v>
      </c>
      <c r="C1649" s="70">
        <v>1648</v>
      </c>
      <c r="D1649" s="65">
        <v>5</v>
      </c>
      <c r="F1649" s="85">
        <v>45784</v>
      </c>
      <c r="G1649" s="64" t="s">
        <v>896</v>
      </c>
      <c r="H1649"/>
      <c r="I1649"/>
    </row>
    <row r="1650" spans="1:9" x14ac:dyDescent="0.35">
      <c r="A1650" s="71">
        <f t="shared" si="51"/>
        <v>51864.099999999977</v>
      </c>
      <c r="B1650" s="72">
        <f t="shared" si="50"/>
        <v>-75</v>
      </c>
      <c r="C1650" s="70">
        <v>1649</v>
      </c>
      <c r="E1650" s="66">
        <v>75</v>
      </c>
      <c r="F1650" s="85">
        <v>45784</v>
      </c>
      <c r="G1650" s="64" t="s">
        <v>452</v>
      </c>
      <c r="H1650"/>
      <c r="I1650"/>
    </row>
    <row r="1651" spans="1:9" x14ac:dyDescent="0.35">
      <c r="A1651" s="71">
        <f t="shared" si="51"/>
        <v>51779.099999999977</v>
      </c>
      <c r="B1651" s="72">
        <f t="shared" si="50"/>
        <v>-85</v>
      </c>
      <c r="C1651" s="70">
        <v>1650</v>
      </c>
      <c r="E1651" s="66">
        <v>85</v>
      </c>
      <c r="F1651" s="85">
        <v>45784</v>
      </c>
      <c r="G1651" s="64" t="s">
        <v>752</v>
      </c>
      <c r="H1651"/>
      <c r="I1651"/>
    </row>
    <row r="1652" spans="1:9" x14ac:dyDescent="0.35">
      <c r="A1652" s="71">
        <f t="shared" si="51"/>
        <v>51379.099999999977</v>
      </c>
      <c r="B1652" s="72">
        <f t="shared" si="50"/>
        <v>-400</v>
      </c>
      <c r="C1652" s="70">
        <v>1651</v>
      </c>
      <c r="E1652" s="66">
        <v>400</v>
      </c>
      <c r="F1652" s="85">
        <v>45784</v>
      </c>
      <c r="G1652" s="64" t="s">
        <v>120</v>
      </c>
      <c r="H1652"/>
      <c r="I1652"/>
    </row>
    <row r="1653" spans="1:9" x14ac:dyDescent="0.35">
      <c r="A1653" s="71">
        <f t="shared" si="51"/>
        <v>51534.099999999977</v>
      </c>
      <c r="B1653" s="72">
        <f t="shared" si="50"/>
        <v>155</v>
      </c>
      <c r="C1653" s="70">
        <v>1652</v>
      </c>
      <c r="D1653" s="65">
        <v>200</v>
      </c>
      <c r="E1653" s="66">
        <v>45</v>
      </c>
      <c r="F1653" s="85">
        <v>45785</v>
      </c>
      <c r="G1653" s="64" t="s">
        <v>898</v>
      </c>
      <c r="H1653"/>
      <c r="I1653"/>
    </row>
    <row r="1654" spans="1:9" x14ac:dyDescent="0.35">
      <c r="A1654" s="71">
        <f t="shared" si="51"/>
        <v>61109.099999999977</v>
      </c>
      <c r="B1654" s="72">
        <f t="shared" si="50"/>
        <v>9575</v>
      </c>
      <c r="C1654" s="70">
        <v>1653</v>
      </c>
      <c r="D1654" s="65">
        <v>9675</v>
      </c>
      <c r="E1654" s="66">
        <v>100</v>
      </c>
      <c r="F1654" s="85">
        <v>45787</v>
      </c>
      <c r="G1654" s="64" t="s">
        <v>899</v>
      </c>
      <c r="H1654"/>
      <c r="I1654"/>
    </row>
    <row r="1655" spans="1:9" x14ac:dyDescent="0.35">
      <c r="A1655" s="71">
        <f t="shared" si="51"/>
        <v>33522.099999999977</v>
      </c>
      <c r="B1655" s="72">
        <f t="shared" si="50"/>
        <v>-27587</v>
      </c>
      <c r="C1655" s="70">
        <v>1654</v>
      </c>
      <c r="E1655" s="66">
        <v>27587</v>
      </c>
      <c r="F1655" s="85">
        <v>45787</v>
      </c>
      <c r="G1655" s="64" t="s">
        <v>18</v>
      </c>
      <c r="H1655"/>
      <c r="I1655"/>
    </row>
    <row r="1656" spans="1:9" x14ac:dyDescent="0.35">
      <c r="A1656" s="71">
        <f t="shared" si="51"/>
        <v>36522.099999999977</v>
      </c>
      <c r="B1656" s="72">
        <f t="shared" si="50"/>
        <v>3000</v>
      </c>
      <c r="C1656" s="70">
        <v>1655</v>
      </c>
      <c r="D1656" s="65">
        <v>3000</v>
      </c>
      <c r="F1656" s="85">
        <v>45787</v>
      </c>
      <c r="G1656" s="64" t="s">
        <v>900</v>
      </c>
      <c r="H1656"/>
      <c r="I1656"/>
    </row>
    <row r="1657" spans="1:9" x14ac:dyDescent="0.35">
      <c r="A1657" s="71">
        <f t="shared" si="51"/>
        <v>22122.099999999977</v>
      </c>
      <c r="B1657" s="72">
        <f t="shared" si="50"/>
        <v>-14400</v>
      </c>
      <c r="C1657" s="70">
        <v>1656</v>
      </c>
      <c r="E1657" s="66">
        <v>14400</v>
      </c>
      <c r="F1657" s="85">
        <v>45787</v>
      </c>
      <c r="G1657" s="64" t="s">
        <v>923</v>
      </c>
      <c r="H1657"/>
      <c r="I1657"/>
    </row>
    <row r="1658" spans="1:9" x14ac:dyDescent="0.35">
      <c r="A1658" s="71">
        <f t="shared" si="51"/>
        <v>21672.099999999977</v>
      </c>
      <c r="B1658" s="72">
        <f t="shared" si="50"/>
        <v>-450</v>
      </c>
      <c r="C1658" s="70">
        <v>1657</v>
      </c>
      <c r="E1658" s="66">
        <v>450</v>
      </c>
      <c r="F1658" s="85">
        <v>45787</v>
      </c>
      <c r="G1658" s="64" t="s">
        <v>901</v>
      </c>
      <c r="H1658"/>
      <c r="I1658"/>
    </row>
    <row r="1659" spans="1:9" x14ac:dyDescent="0.35">
      <c r="A1659" s="71">
        <f t="shared" si="51"/>
        <v>21587.099999999977</v>
      </c>
      <c r="B1659" s="72">
        <f t="shared" si="50"/>
        <v>-85</v>
      </c>
      <c r="C1659" s="70">
        <v>1658</v>
      </c>
      <c r="E1659" s="66">
        <v>85</v>
      </c>
      <c r="F1659" s="85">
        <v>45787</v>
      </c>
      <c r="G1659" s="64" t="s">
        <v>400</v>
      </c>
      <c r="H1659"/>
      <c r="I1659"/>
    </row>
    <row r="1660" spans="1:9" x14ac:dyDescent="0.35">
      <c r="A1660" s="71">
        <f t="shared" si="51"/>
        <v>42452.099999999977</v>
      </c>
      <c r="B1660" s="72">
        <f t="shared" si="50"/>
        <v>20865</v>
      </c>
      <c r="C1660" s="70">
        <v>1659</v>
      </c>
      <c r="D1660" s="65">
        <v>21365</v>
      </c>
      <c r="E1660" s="66">
        <v>500</v>
      </c>
      <c r="F1660" s="85">
        <v>45788</v>
      </c>
      <c r="G1660" s="64" t="s">
        <v>199</v>
      </c>
      <c r="H1660"/>
      <c r="I1660"/>
    </row>
    <row r="1661" spans="1:9" x14ac:dyDescent="0.35">
      <c r="A1661" s="71">
        <f t="shared" si="51"/>
        <v>42362.099999999977</v>
      </c>
      <c r="B1661" s="72">
        <f t="shared" si="50"/>
        <v>-90</v>
      </c>
      <c r="C1661" s="70">
        <v>1660</v>
      </c>
      <c r="E1661" s="66">
        <v>90</v>
      </c>
      <c r="F1661" s="85">
        <v>45788</v>
      </c>
      <c r="G1661" s="64" t="s">
        <v>902</v>
      </c>
      <c r="H1661"/>
      <c r="I1661"/>
    </row>
    <row r="1662" spans="1:9" x14ac:dyDescent="0.35">
      <c r="A1662" s="71">
        <f t="shared" si="51"/>
        <v>42277.099999999977</v>
      </c>
      <c r="B1662" s="72">
        <f t="shared" si="50"/>
        <v>-85</v>
      </c>
      <c r="C1662" s="70">
        <v>1661</v>
      </c>
      <c r="E1662" s="66">
        <v>85</v>
      </c>
      <c r="F1662" s="85">
        <v>45788</v>
      </c>
      <c r="G1662" s="64" t="s">
        <v>752</v>
      </c>
      <c r="H1662"/>
      <c r="I1662"/>
    </row>
    <row r="1663" spans="1:9" x14ac:dyDescent="0.35">
      <c r="A1663" s="71">
        <f t="shared" si="51"/>
        <v>41957.099999999977</v>
      </c>
      <c r="B1663" s="72">
        <f t="shared" si="50"/>
        <v>-320</v>
      </c>
      <c r="C1663" s="70">
        <v>1662</v>
      </c>
      <c r="E1663" s="66">
        <v>320</v>
      </c>
      <c r="F1663" s="85">
        <v>45788</v>
      </c>
      <c r="G1663" s="64" t="s">
        <v>75</v>
      </c>
      <c r="H1663"/>
      <c r="I1663"/>
    </row>
    <row r="1664" spans="1:9" x14ac:dyDescent="0.35">
      <c r="A1664" s="71">
        <f t="shared" si="51"/>
        <v>44442.099999999977</v>
      </c>
      <c r="B1664" s="72">
        <f t="shared" si="50"/>
        <v>2485</v>
      </c>
      <c r="C1664" s="70">
        <v>1663</v>
      </c>
      <c r="D1664" s="65">
        <v>2675</v>
      </c>
      <c r="E1664" s="66">
        <v>190</v>
      </c>
      <c r="F1664" s="85">
        <v>45789</v>
      </c>
      <c r="G1664" s="64" t="s">
        <v>903</v>
      </c>
      <c r="H1664"/>
      <c r="I1664"/>
    </row>
    <row r="1665" spans="1:9" x14ac:dyDescent="0.35">
      <c r="A1665" s="71">
        <f t="shared" si="51"/>
        <v>43642.099999999977</v>
      </c>
      <c r="B1665" s="72">
        <f t="shared" si="50"/>
        <v>-800</v>
      </c>
      <c r="C1665" s="70">
        <v>1664</v>
      </c>
      <c r="E1665" s="66">
        <v>800</v>
      </c>
      <c r="F1665" s="85">
        <v>45789</v>
      </c>
      <c r="G1665" s="64" t="s">
        <v>904</v>
      </c>
      <c r="H1665"/>
      <c r="I1665"/>
    </row>
    <row r="1666" spans="1:9" x14ac:dyDescent="0.35">
      <c r="A1666" s="71">
        <f t="shared" si="51"/>
        <v>43492.099999999977</v>
      </c>
      <c r="B1666" s="72">
        <f t="shared" si="50"/>
        <v>-150</v>
      </c>
      <c r="C1666" s="70">
        <v>1665</v>
      </c>
      <c r="E1666" s="66">
        <v>150</v>
      </c>
      <c r="F1666" s="85">
        <v>45789</v>
      </c>
      <c r="G1666" s="64" t="s">
        <v>459</v>
      </c>
      <c r="H1666"/>
      <c r="I1666"/>
    </row>
    <row r="1667" spans="1:9" x14ac:dyDescent="0.35">
      <c r="A1667" s="71">
        <f t="shared" si="51"/>
        <v>43407.099999999977</v>
      </c>
      <c r="B1667" s="72">
        <f t="shared" ref="B1667:B1730" si="52">SUM(D1667-E1667)</f>
        <v>-85</v>
      </c>
      <c r="C1667" s="70">
        <v>1666</v>
      </c>
      <c r="E1667" s="66">
        <v>85</v>
      </c>
      <c r="F1667" s="85">
        <v>45789</v>
      </c>
      <c r="G1667" s="64" t="s">
        <v>752</v>
      </c>
      <c r="H1667"/>
      <c r="I1667"/>
    </row>
    <row r="1668" spans="1:9" x14ac:dyDescent="0.35">
      <c r="A1668" s="71">
        <f t="shared" ref="A1668:A1731" si="53">SUM(A1667+B1668)</f>
        <v>43207.099999999977</v>
      </c>
      <c r="B1668" s="72">
        <f t="shared" si="52"/>
        <v>-200</v>
      </c>
      <c r="C1668" s="70">
        <v>1667</v>
      </c>
      <c r="E1668" s="66">
        <v>200</v>
      </c>
      <c r="F1668" s="85">
        <v>45789</v>
      </c>
      <c r="G1668" s="64" t="s">
        <v>50</v>
      </c>
      <c r="H1668"/>
      <c r="I1668"/>
    </row>
    <row r="1669" spans="1:9" x14ac:dyDescent="0.35">
      <c r="A1669" s="71">
        <f t="shared" si="53"/>
        <v>43187.099999999977</v>
      </c>
      <c r="B1669" s="72">
        <f t="shared" si="52"/>
        <v>-20</v>
      </c>
      <c r="C1669" s="70">
        <v>1668</v>
      </c>
      <c r="E1669" s="66">
        <v>20</v>
      </c>
      <c r="F1669" s="85">
        <v>45789</v>
      </c>
      <c r="G1669" s="64" t="s">
        <v>243</v>
      </c>
      <c r="H1669"/>
      <c r="I1669"/>
    </row>
    <row r="1670" spans="1:9" x14ac:dyDescent="0.35">
      <c r="A1670" s="71">
        <f t="shared" si="53"/>
        <v>65486.099999999977</v>
      </c>
      <c r="B1670" s="72">
        <f t="shared" si="52"/>
        <v>22299</v>
      </c>
      <c r="C1670" s="70">
        <v>1669</v>
      </c>
      <c r="D1670" s="65">
        <v>22375</v>
      </c>
      <c r="E1670" s="66">
        <v>76</v>
      </c>
      <c r="F1670" s="85">
        <v>45790</v>
      </c>
      <c r="G1670" s="64" t="s">
        <v>131</v>
      </c>
      <c r="H1670"/>
      <c r="I1670"/>
    </row>
    <row r="1671" spans="1:9" x14ac:dyDescent="0.35">
      <c r="A1671" s="71">
        <f t="shared" si="53"/>
        <v>64476.099999999977</v>
      </c>
      <c r="B1671" s="72">
        <f t="shared" si="52"/>
        <v>-1010</v>
      </c>
      <c r="C1671" s="70">
        <v>1670</v>
      </c>
      <c r="E1671" s="66">
        <v>1010</v>
      </c>
      <c r="F1671" s="85">
        <v>45790</v>
      </c>
      <c r="G1671" s="64" t="s">
        <v>64</v>
      </c>
      <c r="H1671"/>
      <c r="I1671"/>
    </row>
    <row r="1672" spans="1:9" x14ac:dyDescent="0.35">
      <c r="A1672" s="71">
        <f t="shared" si="53"/>
        <v>64356.099999999977</v>
      </c>
      <c r="B1672" s="72">
        <f t="shared" si="52"/>
        <v>-120</v>
      </c>
      <c r="C1672" s="70">
        <v>1671</v>
      </c>
      <c r="E1672" s="66">
        <v>120</v>
      </c>
      <c r="F1672" s="85">
        <v>45790</v>
      </c>
      <c r="G1672" s="64" t="s">
        <v>65</v>
      </c>
      <c r="H1672"/>
      <c r="I1672"/>
    </row>
    <row r="1673" spans="1:9" x14ac:dyDescent="0.35">
      <c r="A1673" s="71">
        <f t="shared" si="53"/>
        <v>64281.099999999977</v>
      </c>
      <c r="B1673" s="72">
        <f t="shared" si="52"/>
        <v>-75</v>
      </c>
      <c r="C1673" s="70">
        <v>1672</v>
      </c>
      <c r="E1673" s="66">
        <v>75</v>
      </c>
      <c r="F1673" s="85">
        <v>45790</v>
      </c>
      <c r="G1673" s="64" t="s">
        <v>470</v>
      </c>
      <c r="H1673"/>
      <c r="I1673"/>
    </row>
    <row r="1674" spans="1:9" x14ac:dyDescent="0.35">
      <c r="A1674" s="71">
        <f t="shared" si="53"/>
        <v>74891.099999999977</v>
      </c>
      <c r="B1674" s="72">
        <f t="shared" si="52"/>
        <v>10610</v>
      </c>
      <c r="C1674" s="70">
        <v>1673</v>
      </c>
      <c r="D1674" s="65">
        <v>11220</v>
      </c>
      <c r="E1674" s="66">
        <v>610</v>
      </c>
      <c r="F1674" s="85">
        <v>45791</v>
      </c>
      <c r="G1674" s="64" t="s">
        <v>486</v>
      </c>
      <c r="H1674"/>
      <c r="I1674"/>
    </row>
    <row r="1675" spans="1:9" x14ac:dyDescent="0.35">
      <c r="A1675" s="71">
        <f t="shared" si="53"/>
        <v>74816.099999999977</v>
      </c>
      <c r="B1675" s="72">
        <f t="shared" si="52"/>
        <v>-75</v>
      </c>
      <c r="C1675" s="70">
        <v>1674</v>
      </c>
      <c r="E1675" s="66">
        <v>75</v>
      </c>
      <c r="F1675" s="85">
        <v>45791</v>
      </c>
      <c r="G1675" s="64" t="s">
        <v>906</v>
      </c>
      <c r="H1675"/>
      <c r="I1675"/>
    </row>
    <row r="1676" spans="1:9" x14ac:dyDescent="0.35">
      <c r="A1676" s="71">
        <f t="shared" si="53"/>
        <v>74736.099999999977</v>
      </c>
      <c r="B1676" s="72">
        <f t="shared" si="52"/>
        <v>-80</v>
      </c>
      <c r="C1676" s="70">
        <v>1675</v>
      </c>
      <c r="E1676" s="66">
        <v>80</v>
      </c>
      <c r="F1676" s="85">
        <v>45791</v>
      </c>
      <c r="G1676" s="64" t="s">
        <v>907</v>
      </c>
      <c r="H1676"/>
      <c r="I1676"/>
    </row>
    <row r="1677" spans="1:9" x14ac:dyDescent="0.35">
      <c r="A1677" s="71">
        <f t="shared" si="53"/>
        <v>78546.099999999977</v>
      </c>
      <c r="B1677" s="72">
        <f t="shared" si="52"/>
        <v>3810</v>
      </c>
      <c r="C1677" s="70">
        <v>1676</v>
      </c>
      <c r="D1677" s="65">
        <v>3810</v>
      </c>
      <c r="F1677" s="85">
        <v>45792</v>
      </c>
      <c r="G1677" s="64" t="s">
        <v>12</v>
      </c>
      <c r="H1677"/>
      <c r="I1677"/>
    </row>
    <row r="1678" spans="1:9" x14ac:dyDescent="0.35">
      <c r="A1678" s="71">
        <f t="shared" si="53"/>
        <v>82181.099999999977</v>
      </c>
      <c r="B1678" s="72">
        <f t="shared" si="52"/>
        <v>3635</v>
      </c>
      <c r="C1678" s="70">
        <v>1677</v>
      </c>
      <c r="D1678" s="65">
        <v>3720</v>
      </c>
      <c r="E1678" s="66">
        <v>85</v>
      </c>
      <c r="F1678" s="85">
        <v>45794</v>
      </c>
      <c r="G1678" s="64" t="s">
        <v>400</v>
      </c>
      <c r="H1678"/>
      <c r="I1678"/>
    </row>
    <row r="1679" spans="1:9" x14ac:dyDescent="0.35">
      <c r="A1679" s="71">
        <f t="shared" si="53"/>
        <v>82106.099999999977</v>
      </c>
      <c r="B1679" s="72">
        <f t="shared" si="52"/>
        <v>-75</v>
      </c>
      <c r="C1679" s="70">
        <v>1678</v>
      </c>
      <c r="E1679" s="66">
        <v>75</v>
      </c>
      <c r="F1679" s="85">
        <v>45794</v>
      </c>
      <c r="G1679" s="64" t="s">
        <v>473</v>
      </c>
      <c r="H1679"/>
      <c r="I1679"/>
    </row>
    <row r="1680" spans="1:9" x14ac:dyDescent="0.35">
      <c r="A1680" s="71">
        <f t="shared" si="53"/>
        <v>77176.099999999977</v>
      </c>
      <c r="B1680" s="72">
        <f t="shared" si="52"/>
        <v>-4930</v>
      </c>
      <c r="C1680" s="70">
        <v>1679</v>
      </c>
      <c r="E1680" s="66">
        <v>4930</v>
      </c>
      <c r="F1680" s="85">
        <v>45795</v>
      </c>
      <c r="G1680" s="64" t="s">
        <v>920</v>
      </c>
      <c r="H1680"/>
      <c r="I1680"/>
    </row>
    <row r="1681" spans="1:9" x14ac:dyDescent="0.35">
      <c r="A1681" s="71">
        <f t="shared" si="53"/>
        <v>77026.099999999977</v>
      </c>
      <c r="B1681" s="72">
        <f t="shared" si="52"/>
        <v>-150</v>
      </c>
      <c r="C1681" s="70">
        <v>1680</v>
      </c>
      <c r="E1681" s="66">
        <v>150</v>
      </c>
      <c r="F1681" s="85">
        <v>45795</v>
      </c>
      <c r="G1681" s="64" t="s">
        <v>911</v>
      </c>
      <c r="H1681"/>
      <c r="I1681"/>
    </row>
    <row r="1682" spans="1:9" x14ac:dyDescent="0.35">
      <c r="A1682" s="71">
        <f t="shared" si="53"/>
        <v>76661.099999999977</v>
      </c>
      <c r="B1682" s="72">
        <f t="shared" si="52"/>
        <v>-365</v>
      </c>
      <c r="C1682" s="70">
        <v>1681</v>
      </c>
      <c r="E1682" s="66">
        <v>365</v>
      </c>
      <c r="F1682" s="85">
        <v>45795</v>
      </c>
      <c r="G1682" s="64" t="s">
        <v>910</v>
      </c>
      <c r="H1682"/>
      <c r="I1682"/>
    </row>
    <row r="1683" spans="1:9" x14ac:dyDescent="0.35">
      <c r="A1683" s="71">
        <f t="shared" si="53"/>
        <v>76631.099999999977</v>
      </c>
      <c r="B1683" s="72">
        <f t="shared" si="52"/>
        <v>-30</v>
      </c>
      <c r="C1683" s="70">
        <v>1682</v>
      </c>
      <c r="E1683" s="66">
        <v>30</v>
      </c>
      <c r="F1683" s="85">
        <v>45795</v>
      </c>
      <c r="G1683" s="64" t="s">
        <v>909</v>
      </c>
      <c r="H1683"/>
      <c r="I1683"/>
    </row>
    <row r="1684" spans="1:9" x14ac:dyDescent="0.35">
      <c r="A1684" s="71">
        <f t="shared" si="53"/>
        <v>74751.099999999977</v>
      </c>
      <c r="B1684" s="72">
        <f t="shared" si="52"/>
        <v>-1880</v>
      </c>
      <c r="C1684" s="70">
        <v>1683</v>
      </c>
      <c r="E1684" s="66">
        <v>1880</v>
      </c>
      <c r="F1684" s="85">
        <v>45795</v>
      </c>
      <c r="G1684" s="64" t="s">
        <v>244</v>
      </c>
      <c r="H1684"/>
      <c r="I1684"/>
    </row>
    <row r="1685" spans="1:9" x14ac:dyDescent="0.35">
      <c r="A1685" s="71">
        <f t="shared" si="53"/>
        <v>74751.099999999977</v>
      </c>
      <c r="B1685" s="72">
        <f t="shared" si="52"/>
        <v>0</v>
      </c>
      <c r="C1685" s="70">
        <v>1684</v>
      </c>
      <c r="D1685" s="65">
        <v>250</v>
      </c>
      <c r="E1685" s="66">
        <v>250</v>
      </c>
      <c r="F1685" s="85">
        <v>45795</v>
      </c>
      <c r="G1685" s="64" t="s">
        <v>940</v>
      </c>
      <c r="H1685"/>
      <c r="I1685"/>
    </row>
    <row r="1686" spans="1:9" x14ac:dyDescent="0.35">
      <c r="A1686" s="71">
        <f t="shared" si="53"/>
        <v>73741.099999999977</v>
      </c>
      <c r="B1686" s="72">
        <f t="shared" si="52"/>
        <v>-1010</v>
      </c>
      <c r="C1686" s="70">
        <v>1685</v>
      </c>
      <c r="E1686" s="66">
        <v>1010</v>
      </c>
      <c r="F1686" s="85">
        <v>45795</v>
      </c>
      <c r="G1686" s="64" t="s">
        <v>912</v>
      </c>
      <c r="H1686"/>
      <c r="I1686"/>
    </row>
    <row r="1687" spans="1:9" x14ac:dyDescent="0.35">
      <c r="A1687" s="71">
        <f t="shared" si="53"/>
        <v>80696.099999999977</v>
      </c>
      <c r="B1687" s="72">
        <f t="shared" si="52"/>
        <v>6955</v>
      </c>
      <c r="C1687" s="70">
        <v>1686</v>
      </c>
      <c r="D1687" s="65">
        <v>6955</v>
      </c>
      <c r="F1687" s="85">
        <v>45795</v>
      </c>
      <c r="G1687" s="64" t="s">
        <v>410</v>
      </c>
      <c r="H1687"/>
      <c r="I1687"/>
    </row>
    <row r="1688" spans="1:9" x14ac:dyDescent="0.35">
      <c r="A1688" s="71">
        <f t="shared" si="53"/>
        <v>80661.099999999977</v>
      </c>
      <c r="B1688" s="72">
        <f t="shared" si="52"/>
        <v>-35</v>
      </c>
      <c r="C1688" s="70">
        <v>1687</v>
      </c>
      <c r="E1688" s="66">
        <v>35</v>
      </c>
      <c r="F1688" s="85">
        <v>45795</v>
      </c>
      <c r="G1688" s="64" t="s">
        <v>913</v>
      </c>
      <c r="H1688"/>
      <c r="I1688"/>
    </row>
    <row r="1689" spans="1:9" x14ac:dyDescent="0.35">
      <c r="A1689" s="71">
        <f t="shared" si="53"/>
        <v>44661.099999999977</v>
      </c>
      <c r="B1689" s="72">
        <f t="shared" si="52"/>
        <v>-36000</v>
      </c>
      <c r="C1689" s="70">
        <v>1688</v>
      </c>
      <c r="E1689" s="66">
        <v>36000</v>
      </c>
      <c r="F1689" s="85">
        <v>45796</v>
      </c>
      <c r="G1689" s="64" t="s">
        <v>914</v>
      </c>
      <c r="H1689"/>
      <c r="I1689"/>
    </row>
    <row r="1690" spans="1:9" x14ac:dyDescent="0.35">
      <c r="A1690" s="71">
        <f t="shared" si="53"/>
        <v>44576.099999999977</v>
      </c>
      <c r="B1690" s="72">
        <f t="shared" si="52"/>
        <v>-85</v>
      </c>
      <c r="C1690" s="70">
        <v>1689</v>
      </c>
      <c r="E1690" s="66">
        <v>85</v>
      </c>
      <c r="F1690" s="85">
        <v>45796</v>
      </c>
      <c r="G1690" s="64" t="s">
        <v>752</v>
      </c>
      <c r="H1690"/>
      <c r="I1690"/>
    </row>
    <row r="1691" spans="1:9" x14ac:dyDescent="0.35">
      <c r="A1691" s="71">
        <f t="shared" si="53"/>
        <v>44426.099999999977</v>
      </c>
      <c r="B1691" s="72">
        <f t="shared" si="52"/>
        <v>-150</v>
      </c>
      <c r="C1691" s="70">
        <v>1690</v>
      </c>
      <c r="E1691" s="66">
        <v>150</v>
      </c>
      <c r="F1691" s="85">
        <v>45796</v>
      </c>
      <c r="G1691" s="64" t="s">
        <v>701</v>
      </c>
      <c r="H1691"/>
      <c r="I1691"/>
    </row>
    <row r="1692" spans="1:9" x14ac:dyDescent="0.35">
      <c r="A1692" s="71">
        <f t="shared" si="53"/>
        <v>46446.099999999977</v>
      </c>
      <c r="B1692" s="72">
        <f t="shared" si="52"/>
        <v>2020</v>
      </c>
      <c r="C1692" s="70">
        <v>1691</v>
      </c>
      <c r="D1692" s="65">
        <v>2970</v>
      </c>
      <c r="E1692" s="66">
        <v>950</v>
      </c>
      <c r="F1692" s="85">
        <v>45796</v>
      </c>
      <c r="G1692" s="64" t="s">
        <v>916</v>
      </c>
      <c r="H1692"/>
      <c r="I1692"/>
    </row>
    <row r="1693" spans="1:9" x14ac:dyDescent="0.35">
      <c r="A1693" s="71">
        <f t="shared" si="53"/>
        <v>46426.099999999977</v>
      </c>
      <c r="B1693" s="72">
        <f t="shared" si="52"/>
        <v>-20</v>
      </c>
      <c r="C1693" s="70">
        <v>1692</v>
      </c>
      <c r="E1693" s="66">
        <v>20</v>
      </c>
      <c r="F1693" s="85">
        <v>45796</v>
      </c>
      <c r="G1693" s="64" t="s">
        <v>243</v>
      </c>
      <c r="H1693"/>
      <c r="I1693"/>
    </row>
    <row r="1694" spans="1:9" x14ac:dyDescent="0.35">
      <c r="A1694" s="71">
        <f t="shared" si="53"/>
        <v>46340.099999999977</v>
      </c>
      <c r="B1694" s="72">
        <f t="shared" si="52"/>
        <v>-86</v>
      </c>
      <c r="C1694" s="70">
        <v>1693</v>
      </c>
      <c r="E1694" s="66">
        <v>86</v>
      </c>
      <c r="F1694" s="85">
        <v>45797</v>
      </c>
      <c r="G1694" s="64" t="s">
        <v>915</v>
      </c>
      <c r="H1694"/>
      <c r="I1694"/>
    </row>
    <row r="1695" spans="1:9" x14ac:dyDescent="0.35">
      <c r="A1695" s="71">
        <f t="shared" si="53"/>
        <v>46140.099999999977</v>
      </c>
      <c r="B1695" s="72">
        <f t="shared" si="52"/>
        <v>-200</v>
      </c>
      <c r="C1695" s="70">
        <v>1694</v>
      </c>
      <c r="D1695" s="65">
        <v>300</v>
      </c>
      <c r="E1695" s="66">
        <v>500</v>
      </c>
      <c r="F1695" s="85">
        <v>45797</v>
      </c>
      <c r="G1695" s="64" t="s">
        <v>948</v>
      </c>
      <c r="H1695"/>
      <c r="I1695"/>
    </row>
    <row r="1696" spans="1:9" x14ac:dyDescent="0.35">
      <c r="A1696" s="71">
        <f t="shared" si="53"/>
        <v>67160.099999999977</v>
      </c>
      <c r="B1696" s="72">
        <f t="shared" si="52"/>
        <v>21020</v>
      </c>
      <c r="C1696" s="70">
        <v>1695</v>
      </c>
      <c r="D1696" s="65">
        <v>21200</v>
      </c>
      <c r="E1696" s="66">
        <v>180</v>
      </c>
      <c r="F1696" s="85">
        <v>45797</v>
      </c>
      <c r="G1696" s="64" t="s">
        <v>917</v>
      </c>
      <c r="H1696"/>
      <c r="I1696"/>
    </row>
    <row r="1697" spans="1:9" x14ac:dyDescent="0.35">
      <c r="A1697" s="71">
        <f t="shared" si="53"/>
        <v>67010.099999999977</v>
      </c>
      <c r="B1697" s="72">
        <f t="shared" si="52"/>
        <v>-150</v>
      </c>
      <c r="C1697" s="70">
        <v>1696</v>
      </c>
      <c r="E1697" s="66">
        <v>150</v>
      </c>
      <c r="F1697" s="85">
        <v>45797</v>
      </c>
      <c r="G1697" s="64" t="s">
        <v>484</v>
      </c>
      <c r="H1697"/>
      <c r="I1697"/>
    </row>
    <row r="1698" spans="1:9" x14ac:dyDescent="0.35">
      <c r="A1698" s="71">
        <f t="shared" si="53"/>
        <v>66510.099999999977</v>
      </c>
      <c r="B1698" s="72">
        <f t="shared" si="52"/>
        <v>-500</v>
      </c>
      <c r="C1698" s="70">
        <v>1697</v>
      </c>
      <c r="E1698" s="66">
        <v>500</v>
      </c>
      <c r="F1698" s="85">
        <v>45797</v>
      </c>
      <c r="G1698" s="64" t="s">
        <v>918</v>
      </c>
      <c r="H1698"/>
      <c r="I1698"/>
    </row>
    <row r="1699" spans="1:9" x14ac:dyDescent="0.35">
      <c r="A1699" s="71">
        <f t="shared" si="53"/>
        <v>66360.099999999977</v>
      </c>
      <c r="B1699" s="72">
        <f t="shared" si="52"/>
        <v>-150</v>
      </c>
      <c r="C1699" s="70">
        <v>1698</v>
      </c>
      <c r="E1699" s="66">
        <v>150</v>
      </c>
      <c r="F1699" s="85">
        <v>45797</v>
      </c>
      <c r="G1699" s="64" t="s">
        <v>873</v>
      </c>
      <c r="H1699"/>
      <c r="I1699"/>
    </row>
    <row r="1700" spans="1:9" x14ac:dyDescent="0.35">
      <c r="A1700" s="71">
        <f t="shared" si="53"/>
        <v>77520.099999999977</v>
      </c>
      <c r="B1700" s="72">
        <f t="shared" si="52"/>
        <v>11160</v>
      </c>
      <c r="C1700" s="70">
        <v>1699</v>
      </c>
      <c r="D1700" s="65">
        <v>12310</v>
      </c>
      <c r="E1700" s="66">
        <v>1150</v>
      </c>
      <c r="F1700" s="85">
        <v>45798</v>
      </c>
      <c r="G1700" s="64" t="s">
        <v>919</v>
      </c>
      <c r="H1700"/>
      <c r="I1700"/>
    </row>
    <row r="1701" spans="1:9" x14ac:dyDescent="0.35">
      <c r="A1701" s="71">
        <f t="shared" si="53"/>
        <v>77435.099999999977</v>
      </c>
      <c r="B1701" s="72">
        <f t="shared" si="52"/>
        <v>-85</v>
      </c>
      <c r="C1701" s="70">
        <v>1700</v>
      </c>
      <c r="E1701" s="66">
        <v>85</v>
      </c>
      <c r="F1701" s="85">
        <v>45798</v>
      </c>
      <c r="G1701" s="64" t="s">
        <v>400</v>
      </c>
      <c r="H1701"/>
      <c r="I1701"/>
    </row>
    <row r="1702" spans="1:9" x14ac:dyDescent="0.35">
      <c r="A1702" s="71">
        <f t="shared" si="53"/>
        <v>77360.099999999977</v>
      </c>
      <c r="B1702" s="72">
        <f t="shared" si="52"/>
        <v>-75</v>
      </c>
      <c r="C1702" s="70">
        <v>1701</v>
      </c>
      <c r="E1702" s="66">
        <v>75</v>
      </c>
      <c r="F1702" s="85">
        <v>45798</v>
      </c>
      <c r="G1702" s="64" t="s">
        <v>626</v>
      </c>
      <c r="H1702"/>
      <c r="I1702"/>
    </row>
    <row r="1703" spans="1:9" x14ac:dyDescent="0.35">
      <c r="A1703" s="71">
        <f t="shared" si="53"/>
        <v>77010.099999999977</v>
      </c>
      <c r="B1703" s="72">
        <f t="shared" si="52"/>
        <v>-350</v>
      </c>
      <c r="C1703" s="70">
        <v>1702</v>
      </c>
      <c r="E1703" s="66">
        <v>350</v>
      </c>
      <c r="F1703" s="85">
        <v>45799</v>
      </c>
      <c r="G1703" s="64" t="s">
        <v>921</v>
      </c>
      <c r="H1703"/>
      <c r="I1703"/>
    </row>
    <row r="1704" spans="1:9" x14ac:dyDescent="0.35">
      <c r="A1704" s="71">
        <f t="shared" si="53"/>
        <v>78000.099999999977</v>
      </c>
      <c r="B1704" s="72">
        <f t="shared" si="52"/>
        <v>990</v>
      </c>
      <c r="C1704" s="70">
        <v>1703</v>
      </c>
      <c r="D1704" s="65">
        <v>1990</v>
      </c>
      <c r="E1704" s="66">
        <v>1000</v>
      </c>
      <c r="F1704" s="85">
        <v>45799</v>
      </c>
      <c r="G1704" s="64" t="s">
        <v>945</v>
      </c>
      <c r="H1704"/>
      <c r="I1704"/>
    </row>
    <row r="1705" spans="1:9" x14ac:dyDescent="0.35">
      <c r="A1705" s="71">
        <f t="shared" si="53"/>
        <v>77915.099999999977</v>
      </c>
      <c r="B1705" s="72">
        <f t="shared" si="52"/>
        <v>-85</v>
      </c>
      <c r="C1705" s="70">
        <v>1704</v>
      </c>
      <c r="E1705" s="66">
        <v>85</v>
      </c>
      <c r="F1705" s="85">
        <v>45799</v>
      </c>
      <c r="G1705" s="64" t="s">
        <v>752</v>
      </c>
      <c r="H1705"/>
      <c r="I1705"/>
    </row>
    <row r="1706" spans="1:9" x14ac:dyDescent="0.35">
      <c r="A1706" s="71">
        <f t="shared" si="53"/>
        <v>75415.099999999977</v>
      </c>
      <c r="B1706" s="72">
        <f t="shared" si="52"/>
        <v>-2500</v>
      </c>
      <c r="C1706" s="70">
        <v>1705</v>
      </c>
      <c r="E1706" s="66">
        <v>2500</v>
      </c>
      <c r="F1706" s="85">
        <v>45801</v>
      </c>
      <c r="G1706" s="64" t="s">
        <v>177</v>
      </c>
      <c r="H1706"/>
      <c r="I1706"/>
    </row>
    <row r="1707" spans="1:9" x14ac:dyDescent="0.35">
      <c r="A1707" s="71">
        <f t="shared" si="53"/>
        <v>79835.099999999977</v>
      </c>
      <c r="B1707" s="72">
        <f t="shared" si="52"/>
        <v>4420</v>
      </c>
      <c r="C1707" s="70">
        <v>1706</v>
      </c>
      <c r="D1707" s="65">
        <v>4420</v>
      </c>
      <c r="F1707" s="85">
        <v>45801</v>
      </c>
      <c r="G1707" s="64" t="s">
        <v>12</v>
      </c>
      <c r="H1707"/>
      <c r="I1707"/>
    </row>
    <row r="1708" spans="1:9" x14ac:dyDescent="0.35">
      <c r="A1708" s="71">
        <f t="shared" si="53"/>
        <v>79195.099999999977</v>
      </c>
      <c r="B1708" s="72">
        <f t="shared" si="52"/>
        <v>-640</v>
      </c>
      <c r="C1708" s="70">
        <v>1707</v>
      </c>
      <c r="E1708" s="66">
        <v>640</v>
      </c>
      <c r="F1708" s="85">
        <v>45801</v>
      </c>
      <c r="G1708" s="64" t="s">
        <v>924</v>
      </c>
      <c r="H1708"/>
      <c r="I1708"/>
    </row>
    <row r="1709" spans="1:9" x14ac:dyDescent="0.35">
      <c r="A1709" s="71">
        <f t="shared" si="53"/>
        <v>101115.09999999998</v>
      </c>
      <c r="B1709" s="72">
        <f t="shared" si="52"/>
        <v>21920</v>
      </c>
      <c r="C1709" s="70">
        <v>1708</v>
      </c>
      <c r="D1709" s="65">
        <v>21920</v>
      </c>
      <c r="F1709" s="85">
        <v>45802</v>
      </c>
      <c r="H1709"/>
      <c r="I1709"/>
    </row>
    <row r="1710" spans="1:9" x14ac:dyDescent="0.35">
      <c r="A1710" s="71">
        <f t="shared" si="53"/>
        <v>108159.09999999998</v>
      </c>
      <c r="B1710" s="72">
        <f t="shared" si="52"/>
        <v>7044</v>
      </c>
      <c r="C1710" s="70">
        <v>1709</v>
      </c>
      <c r="D1710" s="65">
        <v>7200</v>
      </c>
      <c r="E1710" s="66">
        <v>156</v>
      </c>
      <c r="F1710" s="85">
        <v>45802</v>
      </c>
      <c r="G1710" s="64" t="s">
        <v>925</v>
      </c>
      <c r="H1710"/>
      <c r="I1710"/>
    </row>
    <row r="1711" spans="1:9" x14ac:dyDescent="0.35">
      <c r="A1711" s="71">
        <f t="shared" si="53"/>
        <v>108139.09999999998</v>
      </c>
      <c r="B1711" s="72">
        <f t="shared" si="52"/>
        <v>-20</v>
      </c>
      <c r="C1711" s="70">
        <v>1710</v>
      </c>
      <c r="E1711" s="66">
        <v>20</v>
      </c>
      <c r="F1711" s="85">
        <v>45803</v>
      </c>
      <c r="G1711" s="64" t="s">
        <v>296</v>
      </c>
      <c r="H1711"/>
      <c r="I1711"/>
    </row>
    <row r="1712" spans="1:9" x14ac:dyDescent="0.35">
      <c r="A1712" s="71">
        <f t="shared" si="53"/>
        <v>108059.09999999998</v>
      </c>
      <c r="B1712" s="72">
        <f t="shared" si="52"/>
        <v>-80</v>
      </c>
      <c r="C1712" s="70">
        <v>1711</v>
      </c>
      <c r="E1712" s="66">
        <v>80</v>
      </c>
      <c r="F1712" s="85">
        <v>45803</v>
      </c>
      <c r="G1712" s="64" t="s">
        <v>680</v>
      </c>
      <c r="H1712"/>
      <c r="I1712"/>
    </row>
    <row r="1713" spans="1:9" x14ac:dyDescent="0.35">
      <c r="A1713" s="71">
        <f t="shared" si="53"/>
        <v>137714.09999999998</v>
      </c>
      <c r="B1713" s="72">
        <f t="shared" si="52"/>
        <v>29655</v>
      </c>
      <c r="C1713" s="70">
        <v>1712</v>
      </c>
      <c r="D1713" s="65">
        <v>29665</v>
      </c>
      <c r="E1713" s="66">
        <v>10</v>
      </c>
      <c r="F1713" s="85">
        <v>45804</v>
      </c>
      <c r="G1713" s="64" t="s">
        <v>926</v>
      </c>
      <c r="H1713"/>
      <c r="I1713"/>
    </row>
    <row r="1714" spans="1:9" x14ac:dyDescent="0.35">
      <c r="A1714" s="71">
        <f t="shared" si="53"/>
        <v>135869.09999999998</v>
      </c>
      <c r="B1714" s="72">
        <f t="shared" si="52"/>
        <v>-1845</v>
      </c>
      <c r="C1714" s="70">
        <v>1713</v>
      </c>
      <c r="E1714" s="66">
        <v>1845</v>
      </c>
      <c r="F1714" s="85">
        <v>45804</v>
      </c>
      <c r="G1714" s="64" t="s">
        <v>935</v>
      </c>
      <c r="H1714"/>
      <c r="I1714"/>
    </row>
    <row r="1715" spans="1:9" x14ac:dyDescent="0.35">
      <c r="A1715" s="71">
        <f t="shared" si="53"/>
        <v>135629.09999999998</v>
      </c>
      <c r="B1715" s="72">
        <f t="shared" si="52"/>
        <v>-240</v>
      </c>
      <c r="C1715" s="70">
        <v>1714</v>
      </c>
      <c r="E1715" s="66">
        <v>240</v>
      </c>
      <c r="F1715" s="85">
        <v>45804</v>
      </c>
      <c r="G1715" s="64" t="s">
        <v>927</v>
      </c>
      <c r="H1715"/>
      <c r="I1715"/>
    </row>
    <row r="1716" spans="1:9" x14ac:dyDescent="0.35">
      <c r="A1716" s="71">
        <f t="shared" si="53"/>
        <v>135479.09999999998</v>
      </c>
      <c r="B1716" s="72">
        <f t="shared" si="52"/>
        <v>-150</v>
      </c>
      <c r="C1716" s="70">
        <v>1715</v>
      </c>
      <c r="E1716" s="66">
        <v>150</v>
      </c>
      <c r="F1716" s="85">
        <v>45804</v>
      </c>
      <c r="G1716" s="64" t="s">
        <v>491</v>
      </c>
      <c r="H1716"/>
      <c r="I1716"/>
    </row>
    <row r="1717" spans="1:9" x14ac:dyDescent="0.35">
      <c r="A1717" s="71">
        <f t="shared" si="53"/>
        <v>135394.09999999998</v>
      </c>
      <c r="B1717" s="72">
        <f t="shared" si="52"/>
        <v>-85</v>
      </c>
      <c r="C1717" s="70">
        <v>1716</v>
      </c>
      <c r="E1717" s="66">
        <v>85</v>
      </c>
      <c r="F1717" s="85">
        <v>45804</v>
      </c>
      <c r="G1717" s="64" t="s">
        <v>752</v>
      </c>
      <c r="H1717"/>
      <c r="I1717"/>
    </row>
    <row r="1718" spans="1:9" x14ac:dyDescent="0.35">
      <c r="A1718" s="71">
        <f t="shared" si="53"/>
        <v>135384.09999999998</v>
      </c>
      <c r="B1718" s="72">
        <f t="shared" si="52"/>
        <v>-10</v>
      </c>
      <c r="C1718" s="70">
        <v>1717</v>
      </c>
      <c r="E1718" s="66">
        <v>10</v>
      </c>
      <c r="F1718" s="85">
        <v>45804</v>
      </c>
      <c r="G1718" s="64" t="s">
        <v>928</v>
      </c>
      <c r="H1718"/>
      <c r="I1718"/>
    </row>
    <row r="1719" spans="1:9" x14ac:dyDescent="0.35">
      <c r="A1719" s="71">
        <f t="shared" si="53"/>
        <v>144074.09999999998</v>
      </c>
      <c r="B1719" s="72">
        <f t="shared" si="52"/>
        <v>8690</v>
      </c>
      <c r="C1719" s="70">
        <v>1718</v>
      </c>
      <c r="D1719" s="65">
        <v>8690</v>
      </c>
      <c r="F1719" s="85">
        <v>45805</v>
      </c>
      <c r="G1719" s="64" t="s">
        <v>908</v>
      </c>
      <c r="H1719"/>
      <c r="I1719"/>
    </row>
    <row r="1720" spans="1:9" x14ac:dyDescent="0.35">
      <c r="A1720" s="71">
        <f t="shared" si="53"/>
        <v>141574.09999999998</v>
      </c>
      <c r="B1720" s="72">
        <f t="shared" si="52"/>
        <v>-2500</v>
      </c>
      <c r="C1720" s="70">
        <v>1719</v>
      </c>
      <c r="E1720" s="66">
        <v>2500</v>
      </c>
      <c r="F1720" s="85">
        <v>45805</v>
      </c>
      <c r="G1720" s="64" t="s">
        <v>177</v>
      </c>
      <c r="H1720"/>
      <c r="I1720"/>
    </row>
    <row r="1721" spans="1:9" x14ac:dyDescent="0.35">
      <c r="A1721" s="71">
        <f t="shared" si="53"/>
        <v>139574.09999999998</v>
      </c>
      <c r="B1721" s="72">
        <f t="shared" si="52"/>
        <v>-2000</v>
      </c>
      <c r="C1721" s="70">
        <v>1720</v>
      </c>
      <c r="E1721" s="66">
        <v>2000</v>
      </c>
      <c r="F1721" s="85">
        <v>45806</v>
      </c>
      <c r="G1721" s="64" t="s">
        <v>929</v>
      </c>
      <c r="H1721"/>
      <c r="I1721"/>
    </row>
    <row r="1722" spans="1:9" x14ac:dyDescent="0.35">
      <c r="A1722" s="71">
        <f t="shared" si="53"/>
        <v>139404.09999999998</v>
      </c>
      <c r="B1722" s="72">
        <f t="shared" si="52"/>
        <v>-170</v>
      </c>
      <c r="C1722" s="70">
        <v>1721</v>
      </c>
      <c r="E1722" s="66">
        <v>170</v>
      </c>
      <c r="F1722" s="85">
        <v>45805</v>
      </c>
      <c r="G1722" s="64" t="s">
        <v>400</v>
      </c>
      <c r="H1722"/>
      <c r="I1722"/>
    </row>
    <row r="1723" spans="1:9" x14ac:dyDescent="0.35">
      <c r="A1723" s="71">
        <f t="shared" si="53"/>
        <v>139404.09999999998</v>
      </c>
      <c r="B1723" s="72">
        <f t="shared" si="52"/>
        <v>0</v>
      </c>
      <c r="C1723" s="70">
        <v>1722</v>
      </c>
      <c r="D1723" s="65">
        <v>150</v>
      </c>
      <c r="E1723" s="66">
        <v>150</v>
      </c>
      <c r="F1723" s="85">
        <v>45805</v>
      </c>
      <c r="G1723" s="64" t="s">
        <v>934</v>
      </c>
      <c r="H1723"/>
      <c r="I1723"/>
    </row>
    <row r="1724" spans="1:9" x14ac:dyDescent="0.35">
      <c r="A1724" s="71">
        <f t="shared" si="53"/>
        <v>140034.09999999998</v>
      </c>
      <c r="B1724" s="72">
        <f t="shared" si="52"/>
        <v>630</v>
      </c>
      <c r="C1724" s="70">
        <v>1723</v>
      </c>
      <c r="D1724" s="65">
        <v>705</v>
      </c>
      <c r="E1724" s="66">
        <v>75</v>
      </c>
      <c r="F1724" s="85">
        <v>45806</v>
      </c>
      <c r="G1724" s="64" t="s">
        <v>932</v>
      </c>
      <c r="H1724"/>
      <c r="I1724"/>
    </row>
    <row r="1725" spans="1:9" x14ac:dyDescent="0.35">
      <c r="A1725" s="71">
        <f t="shared" si="53"/>
        <v>150864.09999999998</v>
      </c>
      <c r="B1725" s="72">
        <f t="shared" si="52"/>
        <v>10830</v>
      </c>
      <c r="C1725" s="70">
        <v>1724</v>
      </c>
      <c r="D1725" s="65">
        <v>10845</v>
      </c>
      <c r="E1725" s="66">
        <v>15</v>
      </c>
      <c r="F1725" s="85">
        <v>45808</v>
      </c>
      <c r="G1725" s="64" t="s">
        <v>930</v>
      </c>
      <c r="H1725"/>
      <c r="I1725"/>
    </row>
    <row r="1726" spans="1:9" x14ac:dyDescent="0.35">
      <c r="A1726" s="71">
        <f t="shared" si="53"/>
        <v>150714.09999999998</v>
      </c>
      <c r="B1726" s="72">
        <f t="shared" si="52"/>
        <v>-150</v>
      </c>
      <c r="C1726" s="70">
        <v>1725</v>
      </c>
      <c r="E1726" s="66">
        <v>150</v>
      </c>
      <c r="F1726" s="85">
        <v>45808</v>
      </c>
      <c r="G1726" s="64" t="s">
        <v>931</v>
      </c>
      <c r="H1726"/>
      <c r="I1726"/>
    </row>
    <row r="1727" spans="1:9" x14ac:dyDescent="0.35">
      <c r="A1727" s="71">
        <f t="shared" si="53"/>
        <v>150439.09999999998</v>
      </c>
      <c r="B1727" s="72">
        <f t="shared" si="52"/>
        <v>-275</v>
      </c>
      <c r="C1727" s="70">
        <v>1726</v>
      </c>
      <c r="E1727" s="66">
        <v>275</v>
      </c>
      <c r="F1727" s="85">
        <v>45808</v>
      </c>
      <c r="G1727" s="64" t="s">
        <v>50</v>
      </c>
      <c r="H1727"/>
      <c r="I1727"/>
    </row>
    <row r="1728" spans="1:9" x14ac:dyDescent="0.35">
      <c r="A1728" s="71">
        <f t="shared" si="53"/>
        <v>150364.09999999998</v>
      </c>
      <c r="B1728" s="72">
        <f t="shared" si="52"/>
        <v>-75</v>
      </c>
      <c r="C1728" s="70">
        <v>1727</v>
      </c>
      <c r="E1728" s="66">
        <v>75</v>
      </c>
      <c r="F1728" s="85">
        <v>45808</v>
      </c>
      <c r="G1728" s="64" t="s">
        <v>715</v>
      </c>
      <c r="H1728"/>
      <c r="I1728"/>
    </row>
    <row r="1729" spans="1:9" x14ac:dyDescent="0.35">
      <c r="A1729" s="71">
        <f t="shared" si="53"/>
        <v>81221.099999999977</v>
      </c>
      <c r="B1729" s="72">
        <f t="shared" si="52"/>
        <v>-69143</v>
      </c>
      <c r="C1729" s="70">
        <v>1728</v>
      </c>
      <c r="E1729" s="66">
        <v>69143</v>
      </c>
      <c r="F1729" s="85">
        <v>45809</v>
      </c>
      <c r="G1729" s="64" t="s">
        <v>784</v>
      </c>
      <c r="H1729"/>
      <c r="I1729"/>
    </row>
    <row r="1730" spans="1:9" x14ac:dyDescent="0.35">
      <c r="A1730" s="71">
        <f t="shared" si="53"/>
        <v>65221.099999999977</v>
      </c>
      <c r="B1730" s="72">
        <f t="shared" si="52"/>
        <v>-16000</v>
      </c>
      <c r="C1730" s="70">
        <v>1729</v>
      </c>
      <c r="E1730" s="66">
        <v>16000</v>
      </c>
      <c r="F1730" s="85">
        <v>45809</v>
      </c>
      <c r="G1730" s="64" t="s">
        <v>933</v>
      </c>
      <c r="H1730"/>
      <c r="I1730"/>
    </row>
    <row r="1731" spans="1:9" x14ac:dyDescent="0.35">
      <c r="A1731" s="71">
        <f t="shared" si="53"/>
        <v>98376.099999999977</v>
      </c>
      <c r="B1731" s="72">
        <f t="shared" ref="B1731:B1794" si="54">SUM(D1731-E1731)</f>
        <v>33155</v>
      </c>
      <c r="C1731" s="70">
        <v>1730</v>
      </c>
      <c r="D1731" s="65">
        <v>33305</v>
      </c>
      <c r="E1731" s="66">
        <v>150</v>
      </c>
      <c r="F1731" s="85">
        <v>45809</v>
      </c>
      <c r="G1731" s="64" t="s">
        <v>552</v>
      </c>
      <c r="H1731"/>
      <c r="I1731"/>
    </row>
    <row r="1732" spans="1:9" x14ac:dyDescent="0.35">
      <c r="A1732" s="71">
        <f t="shared" ref="A1732:A1795" si="55">SUM(A1731+B1732)</f>
        <v>98326.099999999977</v>
      </c>
      <c r="B1732" s="72">
        <f t="shared" si="54"/>
        <v>-50</v>
      </c>
      <c r="C1732" s="70">
        <v>1731</v>
      </c>
      <c r="E1732" s="66">
        <v>50</v>
      </c>
      <c r="F1732" s="85">
        <v>45809</v>
      </c>
      <c r="G1732" s="64" t="s">
        <v>913</v>
      </c>
      <c r="H1732"/>
      <c r="I1732"/>
    </row>
    <row r="1733" spans="1:9" x14ac:dyDescent="0.35">
      <c r="A1733" s="71">
        <f t="shared" si="55"/>
        <v>96826.099999999977</v>
      </c>
      <c r="B1733" s="72">
        <f t="shared" si="54"/>
        <v>-1500</v>
      </c>
      <c r="C1733" s="70">
        <v>1732</v>
      </c>
      <c r="D1733" s="65">
        <v>1200</v>
      </c>
      <c r="E1733" s="66">
        <v>2700</v>
      </c>
      <c r="F1733" s="85">
        <v>45809</v>
      </c>
      <c r="G1733" s="64" t="s">
        <v>1314</v>
      </c>
      <c r="H1733"/>
      <c r="I1733"/>
    </row>
    <row r="1734" spans="1:9" x14ac:dyDescent="0.35">
      <c r="A1734" s="71">
        <f t="shared" si="55"/>
        <v>100229.09999999998</v>
      </c>
      <c r="B1734" s="72">
        <f t="shared" si="54"/>
        <v>3403</v>
      </c>
      <c r="C1734" s="70">
        <v>1733</v>
      </c>
      <c r="D1734" s="65">
        <v>3403</v>
      </c>
      <c r="F1734" s="85">
        <v>45809</v>
      </c>
      <c r="G1734" s="64" t="s">
        <v>939</v>
      </c>
      <c r="H1734"/>
      <c r="I1734"/>
    </row>
    <row r="1735" spans="1:9" x14ac:dyDescent="0.35">
      <c r="A1735" s="71">
        <f t="shared" si="55"/>
        <v>99609.099999999977</v>
      </c>
      <c r="B1735" s="72">
        <f t="shared" si="54"/>
        <v>-620</v>
      </c>
      <c r="C1735" s="70">
        <v>1734</v>
      </c>
      <c r="E1735" s="66">
        <v>620</v>
      </c>
      <c r="F1735" s="85">
        <v>45809</v>
      </c>
      <c r="G1735" s="64" t="s">
        <v>936</v>
      </c>
      <c r="H1735"/>
      <c r="I1735"/>
    </row>
    <row r="1736" spans="1:9" x14ac:dyDescent="0.35">
      <c r="A1736" s="71">
        <f t="shared" si="55"/>
        <v>92609.099999999977</v>
      </c>
      <c r="B1736" s="72">
        <f t="shared" si="54"/>
        <v>-7000</v>
      </c>
      <c r="C1736" s="70">
        <v>1735</v>
      </c>
      <c r="E1736" s="66">
        <v>7000</v>
      </c>
      <c r="F1736" s="85">
        <v>45809</v>
      </c>
      <c r="G1736" s="64" t="s">
        <v>683</v>
      </c>
      <c r="H1736"/>
      <c r="I1736"/>
    </row>
    <row r="1737" spans="1:9" x14ac:dyDescent="0.35">
      <c r="A1737" s="71">
        <f t="shared" si="55"/>
        <v>91609.099999999977</v>
      </c>
      <c r="B1737" s="72">
        <f t="shared" si="54"/>
        <v>-1000</v>
      </c>
      <c r="C1737" s="70">
        <v>1736</v>
      </c>
      <c r="E1737" s="66">
        <v>1000</v>
      </c>
      <c r="F1737" s="85">
        <v>45809</v>
      </c>
      <c r="G1737" s="64" t="s">
        <v>87</v>
      </c>
      <c r="H1737"/>
      <c r="I1737"/>
    </row>
    <row r="1738" spans="1:9" x14ac:dyDescent="0.35">
      <c r="A1738" s="71">
        <f t="shared" si="55"/>
        <v>89359.099999999977</v>
      </c>
      <c r="B1738" s="72">
        <f t="shared" si="54"/>
        <v>-2250</v>
      </c>
      <c r="C1738" s="70">
        <v>1737</v>
      </c>
      <c r="E1738" s="66">
        <v>2250</v>
      </c>
      <c r="F1738" s="85">
        <v>45809</v>
      </c>
      <c r="G1738" s="64" t="s">
        <v>937</v>
      </c>
      <c r="H1738"/>
      <c r="I1738"/>
    </row>
    <row r="1739" spans="1:9" x14ac:dyDescent="0.35">
      <c r="A1739" s="71">
        <f t="shared" si="55"/>
        <v>89359.099999999977</v>
      </c>
      <c r="B1739" s="72">
        <f t="shared" si="54"/>
        <v>0</v>
      </c>
      <c r="C1739" s="70">
        <v>1738</v>
      </c>
      <c r="D1739" s="65">
        <v>100</v>
      </c>
      <c r="E1739" s="66">
        <v>100</v>
      </c>
      <c r="F1739" s="85">
        <v>45809</v>
      </c>
      <c r="G1739" s="64" t="s">
        <v>844</v>
      </c>
      <c r="H1739"/>
      <c r="I1739"/>
    </row>
    <row r="1740" spans="1:9" x14ac:dyDescent="0.35">
      <c r="A1740" s="71">
        <f t="shared" si="55"/>
        <v>90784.099999999977</v>
      </c>
      <c r="B1740" s="72">
        <f t="shared" si="54"/>
        <v>1425</v>
      </c>
      <c r="C1740" s="70">
        <v>1739</v>
      </c>
      <c r="D1740" s="65">
        <v>1425</v>
      </c>
      <c r="F1740" s="85">
        <v>45809</v>
      </c>
      <c r="G1740" s="64" t="s">
        <v>944</v>
      </c>
      <c r="H1740"/>
      <c r="I1740"/>
    </row>
    <row r="1741" spans="1:9" x14ac:dyDescent="0.35">
      <c r="A1741" s="71">
        <f t="shared" si="55"/>
        <v>93327.099999999977</v>
      </c>
      <c r="B1741" s="72">
        <f t="shared" si="54"/>
        <v>2543</v>
      </c>
      <c r="C1741" s="70">
        <v>1740</v>
      </c>
      <c r="D1741" s="65">
        <v>2543</v>
      </c>
      <c r="F1741" s="85">
        <v>45809</v>
      </c>
      <c r="G1741" s="64" t="s">
        <v>938</v>
      </c>
      <c r="H1741"/>
      <c r="I1741"/>
    </row>
    <row r="1742" spans="1:9" x14ac:dyDescent="0.35">
      <c r="A1742" s="71">
        <f t="shared" si="55"/>
        <v>93227.099999999977</v>
      </c>
      <c r="B1742" s="72">
        <f t="shared" si="54"/>
        <v>-100</v>
      </c>
      <c r="C1742" s="70">
        <v>1741</v>
      </c>
      <c r="E1742" s="66">
        <v>100</v>
      </c>
      <c r="F1742" s="85">
        <v>45809</v>
      </c>
      <c r="G1742" s="64" t="s">
        <v>815</v>
      </c>
      <c r="H1742"/>
      <c r="I1742"/>
    </row>
    <row r="1743" spans="1:9" x14ac:dyDescent="0.35">
      <c r="A1743" s="71">
        <f t="shared" si="55"/>
        <v>66627.099999999977</v>
      </c>
      <c r="B1743" s="72">
        <f t="shared" si="54"/>
        <v>-26600</v>
      </c>
      <c r="C1743" s="70">
        <v>1742</v>
      </c>
      <c r="E1743" s="66">
        <v>26600</v>
      </c>
      <c r="F1743" s="85">
        <v>45810</v>
      </c>
      <c r="G1743" s="64" t="s">
        <v>15</v>
      </c>
      <c r="H1743"/>
      <c r="I1743"/>
    </row>
    <row r="1744" spans="1:9" x14ac:dyDescent="0.35">
      <c r="A1744" s="71">
        <f t="shared" si="55"/>
        <v>72131.099999999977</v>
      </c>
      <c r="B1744" s="72">
        <f t="shared" si="54"/>
        <v>5504</v>
      </c>
      <c r="C1744" s="70">
        <v>1743</v>
      </c>
      <c r="D1744" s="65">
        <v>5660</v>
      </c>
      <c r="E1744" s="66">
        <v>156</v>
      </c>
      <c r="F1744" s="85">
        <v>45810</v>
      </c>
      <c r="G1744" s="64" t="s">
        <v>941</v>
      </c>
      <c r="H1744"/>
      <c r="I1744"/>
    </row>
    <row r="1745" spans="1:9" x14ac:dyDescent="0.35">
      <c r="A1745" s="71">
        <f t="shared" si="55"/>
        <v>65631.099999999977</v>
      </c>
      <c r="B1745" s="72">
        <f t="shared" si="54"/>
        <v>-6500</v>
      </c>
      <c r="C1745" s="70">
        <v>1744</v>
      </c>
      <c r="E1745" s="66">
        <v>6500</v>
      </c>
      <c r="F1745" s="85">
        <v>45810</v>
      </c>
      <c r="G1745" s="64" t="s">
        <v>942</v>
      </c>
      <c r="H1745"/>
      <c r="I1745"/>
    </row>
    <row r="1746" spans="1:9" x14ac:dyDescent="0.35">
      <c r="A1746" s="71">
        <f t="shared" si="55"/>
        <v>99261.099999999977</v>
      </c>
      <c r="B1746" s="72">
        <f t="shared" si="54"/>
        <v>33630</v>
      </c>
      <c r="C1746" s="70">
        <v>1745</v>
      </c>
      <c r="D1746" s="65">
        <v>33630</v>
      </c>
      <c r="F1746" s="85">
        <v>45811</v>
      </c>
      <c r="G1746" s="64" t="s">
        <v>12</v>
      </c>
      <c r="H1746"/>
      <c r="I1746"/>
    </row>
    <row r="1747" spans="1:9" x14ac:dyDescent="0.35">
      <c r="A1747" s="71">
        <f t="shared" si="55"/>
        <v>95261.099999999977</v>
      </c>
      <c r="B1747" s="72">
        <f t="shared" si="54"/>
        <v>-4000</v>
      </c>
      <c r="C1747" s="70">
        <v>1746</v>
      </c>
      <c r="E1747" s="66">
        <v>4000</v>
      </c>
      <c r="F1747" s="85">
        <v>45811</v>
      </c>
      <c r="G1747" s="64" t="s">
        <v>946</v>
      </c>
      <c r="H1747"/>
      <c r="I1747"/>
    </row>
    <row r="1748" spans="1:9" x14ac:dyDescent="0.35">
      <c r="A1748" s="71">
        <f t="shared" si="55"/>
        <v>95261.099999999977</v>
      </c>
      <c r="B1748" s="72">
        <f t="shared" si="54"/>
        <v>0</v>
      </c>
      <c r="C1748" s="70">
        <v>1747</v>
      </c>
      <c r="D1748" s="65">
        <v>1000</v>
      </c>
      <c r="E1748" s="66">
        <v>1000</v>
      </c>
      <c r="F1748" s="85">
        <v>45811</v>
      </c>
      <c r="G1748" s="64" t="s">
        <v>950</v>
      </c>
      <c r="H1748"/>
      <c r="I1748"/>
    </row>
    <row r="1749" spans="1:9" x14ac:dyDescent="0.35">
      <c r="A1749" s="71">
        <f t="shared" si="55"/>
        <v>94961.099999999977</v>
      </c>
      <c r="B1749" s="72">
        <f t="shared" si="54"/>
        <v>-300</v>
      </c>
      <c r="C1749" s="70">
        <v>1748</v>
      </c>
      <c r="E1749" s="66">
        <v>300</v>
      </c>
      <c r="F1749" s="85">
        <v>45811</v>
      </c>
      <c r="G1749" s="64" t="s">
        <v>554</v>
      </c>
      <c r="H1749"/>
      <c r="I1749"/>
    </row>
    <row r="1750" spans="1:9" x14ac:dyDescent="0.35">
      <c r="A1750" s="71">
        <f t="shared" si="55"/>
        <v>75711.099999999977</v>
      </c>
      <c r="B1750" s="72">
        <f t="shared" si="54"/>
        <v>-19250</v>
      </c>
      <c r="C1750" s="70">
        <v>1749</v>
      </c>
      <c r="E1750" s="66">
        <v>19250</v>
      </c>
      <c r="F1750" s="85">
        <v>45811</v>
      </c>
      <c r="G1750" s="64" t="s">
        <v>17</v>
      </c>
      <c r="H1750"/>
      <c r="I1750"/>
    </row>
    <row r="1751" spans="1:9" x14ac:dyDescent="0.35">
      <c r="A1751" s="71">
        <f t="shared" si="55"/>
        <v>75371.099999999977</v>
      </c>
      <c r="B1751" s="72">
        <f t="shared" si="54"/>
        <v>-340</v>
      </c>
      <c r="C1751" s="70">
        <v>1750</v>
      </c>
      <c r="E1751" s="66">
        <v>340</v>
      </c>
      <c r="F1751" s="85">
        <v>45812</v>
      </c>
      <c r="G1751" s="64" t="s">
        <v>1</v>
      </c>
      <c r="H1751"/>
      <c r="I1751"/>
    </row>
    <row r="1752" spans="1:9" x14ac:dyDescent="0.35">
      <c r="A1752" s="71">
        <f t="shared" si="55"/>
        <v>74601.099999999977</v>
      </c>
      <c r="B1752" s="72">
        <f t="shared" si="54"/>
        <v>-770</v>
      </c>
      <c r="C1752" s="70">
        <v>1751</v>
      </c>
      <c r="E1752" s="66">
        <v>770</v>
      </c>
      <c r="F1752" s="85">
        <v>45812</v>
      </c>
      <c r="G1752" s="64" t="s">
        <v>14</v>
      </c>
      <c r="H1752"/>
      <c r="I1752"/>
    </row>
    <row r="1753" spans="1:9" x14ac:dyDescent="0.35">
      <c r="A1753" s="71">
        <f t="shared" si="55"/>
        <v>86556.099999999977</v>
      </c>
      <c r="B1753" s="72">
        <f t="shared" si="54"/>
        <v>11955</v>
      </c>
      <c r="C1753" s="70">
        <v>1752</v>
      </c>
      <c r="D1753" s="65">
        <v>11955</v>
      </c>
      <c r="F1753" s="85">
        <v>45812</v>
      </c>
      <c r="G1753" s="64" t="s">
        <v>12</v>
      </c>
      <c r="H1753"/>
      <c r="I1753"/>
    </row>
    <row r="1754" spans="1:9" x14ac:dyDescent="0.35">
      <c r="A1754" s="71">
        <f t="shared" si="55"/>
        <v>86556.099999999977</v>
      </c>
      <c r="B1754" s="72">
        <f t="shared" si="54"/>
        <v>0</v>
      </c>
      <c r="C1754" s="70">
        <v>1753</v>
      </c>
      <c r="D1754" s="65">
        <v>200</v>
      </c>
      <c r="E1754" s="66">
        <v>200</v>
      </c>
      <c r="F1754" s="85">
        <v>45812</v>
      </c>
      <c r="G1754" s="64" t="s">
        <v>947</v>
      </c>
      <c r="H1754"/>
      <c r="I1754"/>
    </row>
    <row r="1755" spans="1:9" x14ac:dyDescent="0.35">
      <c r="A1755" s="71">
        <f t="shared" si="55"/>
        <v>86036.099999999977</v>
      </c>
      <c r="B1755" s="72">
        <f t="shared" si="54"/>
        <v>-520</v>
      </c>
      <c r="C1755" s="70">
        <v>1754</v>
      </c>
      <c r="E1755" s="66">
        <v>520</v>
      </c>
      <c r="F1755" s="85">
        <v>45812</v>
      </c>
      <c r="G1755" s="64" t="s">
        <v>366</v>
      </c>
      <c r="H1755"/>
      <c r="I1755"/>
    </row>
    <row r="1756" spans="1:9" x14ac:dyDescent="0.35">
      <c r="A1756" s="71">
        <f t="shared" si="55"/>
        <v>86036.099999999977</v>
      </c>
      <c r="B1756" s="72">
        <f t="shared" si="54"/>
        <v>0</v>
      </c>
      <c r="C1756" s="70">
        <v>1755</v>
      </c>
      <c r="D1756" s="65">
        <v>400</v>
      </c>
      <c r="E1756" s="66">
        <v>400</v>
      </c>
      <c r="F1756" s="85">
        <v>45812</v>
      </c>
      <c r="G1756" s="64" t="s">
        <v>951</v>
      </c>
      <c r="H1756"/>
      <c r="I1756"/>
    </row>
    <row r="1757" spans="1:9" x14ac:dyDescent="0.35">
      <c r="A1757" s="71">
        <f t="shared" si="55"/>
        <v>85961.099999999977</v>
      </c>
      <c r="B1757" s="72">
        <f t="shared" si="54"/>
        <v>-75</v>
      </c>
      <c r="C1757" s="70">
        <v>1756</v>
      </c>
      <c r="E1757" s="66">
        <v>75</v>
      </c>
      <c r="F1757" s="85">
        <v>45812</v>
      </c>
      <c r="G1757" s="64" t="s">
        <v>459</v>
      </c>
      <c r="H1757"/>
      <c r="I1757"/>
    </row>
    <row r="1758" spans="1:9" x14ac:dyDescent="0.35">
      <c r="A1758" s="71">
        <f t="shared" si="55"/>
        <v>51699.099999999977</v>
      </c>
      <c r="B1758" s="72">
        <f t="shared" si="54"/>
        <v>-34262</v>
      </c>
      <c r="C1758" s="70">
        <v>1757</v>
      </c>
      <c r="E1758" s="66">
        <v>34262</v>
      </c>
      <c r="F1758" s="85">
        <v>45818</v>
      </c>
      <c r="G1758" s="64" t="s">
        <v>18</v>
      </c>
      <c r="H1758"/>
      <c r="I1758"/>
    </row>
    <row r="1759" spans="1:9" x14ac:dyDescent="0.35">
      <c r="A1759" s="71">
        <f t="shared" si="55"/>
        <v>37299.099999999977</v>
      </c>
      <c r="B1759" s="72">
        <f t="shared" si="54"/>
        <v>-14400</v>
      </c>
      <c r="C1759" s="70">
        <v>1758</v>
      </c>
      <c r="E1759" s="66">
        <v>14400</v>
      </c>
      <c r="F1759" s="85">
        <v>45818</v>
      </c>
      <c r="G1759" s="64" t="s">
        <v>279</v>
      </c>
      <c r="H1759"/>
      <c r="I1759"/>
    </row>
    <row r="1760" spans="1:9" x14ac:dyDescent="0.35">
      <c r="A1760" s="71">
        <f t="shared" si="55"/>
        <v>44083.099999999977</v>
      </c>
      <c r="B1760" s="72">
        <f t="shared" si="54"/>
        <v>6784</v>
      </c>
      <c r="C1760" s="70">
        <v>1759</v>
      </c>
      <c r="D1760" s="65">
        <v>6940</v>
      </c>
      <c r="E1760" s="66">
        <v>156</v>
      </c>
      <c r="F1760" s="85">
        <v>45818</v>
      </c>
      <c r="G1760" s="64" t="s">
        <v>949</v>
      </c>
      <c r="H1760"/>
      <c r="I1760"/>
    </row>
    <row r="1761" spans="1:9" x14ac:dyDescent="0.35">
      <c r="A1761" s="71">
        <f t="shared" si="55"/>
        <v>40403.099999999977</v>
      </c>
      <c r="B1761" s="72">
        <f t="shared" si="54"/>
        <v>-3680</v>
      </c>
      <c r="C1761" s="70">
        <v>1760</v>
      </c>
      <c r="E1761" s="66">
        <v>3680</v>
      </c>
      <c r="F1761" s="85">
        <v>45818</v>
      </c>
      <c r="G1761" s="64" t="s">
        <v>955</v>
      </c>
      <c r="H1761"/>
      <c r="I1761"/>
    </row>
    <row r="1762" spans="1:9" x14ac:dyDescent="0.35">
      <c r="A1762" s="71">
        <f t="shared" si="55"/>
        <v>39403.099999999977</v>
      </c>
      <c r="B1762" s="72">
        <f t="shared" si="54"/>
        <v>-1000</v>
      </c>
      <c r="C1762" s="70">
        <v>1761</v>
      </c>
      <c r="E1762" s="66">
        <v>1000</v>
      </c>
      <c r="F1762" s="85">
        <v>45818</v>
      </c>
      <c r="G1762" s="64" t="s">
        <v>952</v>
      </c>
      <c r="H1762"/>
      <c r="I1762"/>
    </row>
    <row r="1763" spans="1:9" x14ac:dyDescent="0.35">
      <c r="A1763" s="71">
        <f t="shared" si="55"/>
        <v>39378.099999999977</v>
      </c>
      <c r="B1763" s="72">
        <f t="shared" si="54"/>
        <v>-25</v>
      </c>
      <c r="C1763" s="70">
        <v>1762</v>
      </c>
      <c r="E1763" s="66">
        <v>25</v>
      </c>
      <c r="F1763" s="85">
        <v>45818</v>
      </c>
      <c r="G1763" s="64" t="s">
        <v>36</v>
      </c>
      <c r="H1763"/>
      <c r="I1763"/>
    </row>
    <row r="1764" spans="1:9" x14ac:dyDescent="0.35">
      <c r="A1764" s="71">
        <f t="shared" si="55"/>
        <v>37378.099999999977</v>
      </c>
      <c r="B1764" s="72">
        <f t="shared" si="54"/>
        <v>-2000</v>
      </c>
      <c r="C1764" s="70">
        <v>1763</v>
      </c>
      <c r="E1764" s="66">
        <v>2000</v>
      </c>
      <c r="F1764" s="85">
        <v>45818</v>
      </c>
      <c r="G1764" s="64" t="s">
        <v>953</v>
      </c>
      <c r="H1764"/>
      <c r="I1764"/>
    </row>
    <row r="1765" spans="1:9" x14ac:dyDescent="0.35">
      <c r="A1765" s="71">
        <f t="shared" si="55"/>
        <v>37293.099999999977</v>
      </c>
      <c r="B1765" s="72">
        <f t="shared" si="54"/>
        <v>-85</v>
      </c>
      <c r="C1765" s="70">
        <v>1764</v>
      </c>
      <c r="E1765" s="66">
        <v>85</v>
      </c>
      <c r="F1765" s="85">
        <v>45818</v>
      </c>
      <c r="G1765" s="64" t="s">
        <v>400</v>
      </c>
      <c r="H1765"/>
      <c r="I1765"/>
    </row>
    <row r="1766" spans="1:9" x14ac:dyDescent="0.35">
      <c r="A1766" s="71">
        <f t="shared" si="55"/>
        <v>37218.099999999977</v>
      </c>
      <c r="B1766" s="72">
        <f t="shared" si="54"/>
        <v>-75</v>
      </c>
      <c r="C1766" s="70">
        <v>1765</v>
      </c>
      <c r="E1766" s="66">
        <v>75</v>
      </c>
      <c r="F1766" s="85">
        <v>45818</v>
      </c>
      <c r="G1766" s="64" t="s">
        <v>470</v>
      </c>
      <c r="H1766"/>
      <c r="I1766"/>
    </row>
    <row r="1767" spans="1:9" x14ac:dyDescent="0.35">
      <c r="A1767" s="71">
        <f t="shared" si="55"/>
        <v>36718.099999999977</v>
      </c>
      <c r="B1767" s="72">
        <f t="shared" si="54"/>
        <v>-500</v>
      </c>
      <c r="C1767" s="70">
        <v>1766</v>
      </c>
      <c r="E1767" s="66">
        <v>500</v>
      </c>
      <c r="F1767" s="85">
        <v>45819</v>
      </c>
      <c r="G1767" s="64" t="s">
        <v>954</v>
      </c>
      <c r="H1767"/>
      <c r="I1767"/>
    </row>
    <row r="1768" spans="1:9" x14ac:dyDescent="0.35">
      <c r="A1768" s="71">
        <f t="shared" si="55"/>
        <v>45178.099999999977</v>
      </c>
      <c r="B1768" s="72">
        <f t="shared" si="54"/>
        <v>8460</v>
      </c>
      <c r="C1768" s="70">
        <v>1767</v>
      </c>
      <c r="D1768" s="65">
        <v>8460</v>
      </c>
      <c r="F1768" s="85">
        <v>45819</v>
      </c>
      <c r="G1768" s="64" t="s">
        <v>12</v>
      </c>
      <c r="H1768"/>
      <c r="I1768"/>
    </row>
    <row r="1769" spans="1:9" x14ac:dyDescent="0.35">
      <c r="A1769" s="71">
        <f t="shared" si="55"/>
        <v>44178.099999999977</v>
      </c>
      <c r="B1769" s="72">
        <f t="shared" si="54"/>
        <v>-1000</v>
      </c>
      <c r="C1769" s="70">
        <v>1768</v>
      </c>
      <c r="E1769" s="66">
        <v>1000</v>
      </c>
      <c r="F1769" s="85">
        <v>45819</v>
      </c>
      <c r="G1769" s="64" t="s">
        <v>827</v>
      </c>
      <c r="H1769"/>
      <c r="I1769"/>
    </row>
    <row r="1770" spans="1:9" x14ac:dyDescent="0.35">
      <c r="A1770" s="71">
        <f t="shared" si="55"/>
        <v>44028.099999999977</v>
      </c>
      <c r="B1770" s="72">
        <f t="shared" si="54"/>
        <v>-150</v>
      </c>
      <c r="C1770" s="70">
        <v>1769</v>
      </c>
      <c r="E1770" s="66">
        <v>150</v>
      </c>
      <c r="F1770" s="85">
        <v>45819</v>
      </c>
      <c r="G1770" s="64" t="s">
        <v>859</v>
      </c>
      <c r="H1770"/>
      <c r="I1770"/>
    </row>
    <row r="1771" spans="1:9" x14ac:dyDescent="0.35">
      <c r="A1771" s="71">
        <f t="shared" si="55"/>
        <v>43991.099999999977</v>
      </c>
      <c r="B1771" s="72">
        <f t="shared" si="54"/>
        <v>-37</v>
      </c>
      <c r="C1771" s="70">
        <v>1770</v>
      </c>
      <c r="E1771" s="66">
        <v>37</v>
      </c>
      <c r="F1771" s="85">
        <v>45819</v>
      </c>
      <c r="G1771" s="64" t="s">
        <v>651</v>
      </c>
      <c r="H1771"/>
      <c r="I1771"/>
    </row>
    <row r="1772" spans="1:9" x14ac:dyDescent="0.35">
      <c r="A1772" s="71">
        <f t="shared" si="55"/>
        <v>44911.099999999977</v>
      </c>
      <c r="B1772" s="72">
        <f t="shared" si="54"/>
        <v>920</v>
      </c>
      <c r="C1772" s="70">
        <v>1771</v>
      </c>
      <c r="D1772" s="65">
        <v>995</v>
      </c>
      <c r="E1772" s="66">
        <v>75</v>
      </c>
      <c r="F1772" s="85">
        <v>45820</v>
      </c>
      <c r="G1772" s="64" t="s">
        <v>701</v>
      </c>
      <c r="H1772"/>
      <c r="I1772"/>
    </row>
    <row r="1773" spans="1:9" x14ac:dyDescent="0.35">
      <c r="A1773" s="71">
        <f t="shared" si="55"/>
        <v>43211.099999999977</v>
      </c>
      <c r="B1773" s="72">
        <f t="shared" si="54"/>
        <v>-1700</v>
      </c>
      <c r="C1773" s="70">
        <v>1772</v>
      </c>
      <c r="E1773" s="66">
        <v>1700</v>
      </c>
      <c r="F1773" s="85">
        <v>45822</v>
      </c>
      <c r="G1773" s="64" t="s">
        <v>956</v>
      </c>
      <c r="H1773"/>
      <c r="I1773"/>
    </row>
    <row r="1774" spans="1:9" x14ac:dyDescent="0.35">
      <c r="A1774" s="71">
        <f t="shared" si="55"/>
        <v>44311.099999999977</v>
      </c>
      <c r="B1774" s="72">
        <f t="shared" si="54"/>
        <v>1100</v>
      </c>
      <c r="C1774" s="70">
        <v>1773</v>
      </c>
      <c r="D1774" s="65">
        <v>1100</v>
      </c>
      <c r="F1774" s="85">
        <v>45822</v>
      </c>
      <c r="G1774" s="64" t="s">
        <v>959</v>
      </c>
      <c r="H1774"/>
      <c r="I1774"/>
    </row>
    <row r="1775" spans="1:9" x14ac:dyDescent="0.35">
      <c r="A1775" s="71">
        <f t="shared" si="55"/>
        <v>47056.099999999977</v>
      </c>
      <c r="B1775" s="72">
        <f t="shared" si="54"/>
        <v>2745</v>
      </c>
      <c r="C1775" s="70">
        <v>1774</v>
      </c>
      <c r="D1775" s="65">
        <v>3250</v>
      </c>
      <c r="E1775" s="66">
        <v>505</v>
      </c>
      <c r="F1775" s="85">
        <v>45822</v>
      </c>
      <c r="G1775" s="64" t="s">
        <v>958</v>
      </c>
      <c r="H1775"/>
      <c r="I1775"/>
    </row>
    <row r="1776" spans="1:9" x14ac:dyDescent="0.35">
      <c r="A1776" s="71">
        <f t="shared" si="55"/>
        <v>47056.099999999977</v>
      </c>
      <c r="B1776" s="72">
        <f t="shared" si="54"/>
        <v>0</v>
      </c>
      <c r="C1776" s="70">
        <v>1775</v>
      </c>
      <c r="D1776" s="65">
        <v>300</v>
      </c>
      <c r="E1776" s="66">
        <v>300</v>
      </c>
      <c r="F1776" s="85">
        <v>45822</v>
      </c>
      <c r="G1776" s="64" t="s">
        <v>962</v>
      </c>
      <c r="H1776"/>
      <c r="I1776"/>
    </row>
    <row r="1777" spans="1:9" x14ac:dyDescent="0.35">
      <c r="A1777" s="71">
        <f t="shared" si="55"/>
        <v>47006.099999999977</v>
      </c>
      <c r="B1777" s="72">
        <f t="shared" si="54"/>
        <v>-50</v>
      </c>
      <c r="C1777" s="70">
        <v>1776</v>
      </c>
      <c r="E1777" s="66">
        <v>50</v>
      </c>
      <c r="F1777" s="85">
        <v>45822</v>
      </c>
      <c r="G1777" s="64" t="s">
        <v>957</v>
      </c>
      <c r="H1777"/>
      <c r="I1777"/>
    </row>
    <row r="1778" spans="1:9" x14ac:dyDescent="0.35">
      <c r="A1778" s="71">
        <f t="shared" si="55"/>
        <v>43006.099999999977</v>
      </c>
      <c r="B1778" s="72">
        <f t="shared" si="54"/>
        <v>-4000</v>
      </c>
      <c r="C1778" s="70">
        <v>1777</v>
      </c>
      <c r="E1778" s="66">
        <v>4000</v>
      </c>
      <c r="F1778" s="85">
        <v>45822</v>
      </c>
      <c r="G1778" s="64" t="s">
        <v>174</v>
      </c>
      <c r="H1778"/>
      <c r="I1778"/>
    </row>
    <row r="1779" spans="1:9" x14ac:dyDescent="0.35">
      <c r="A1779" s="71">
        <f t="shared" si="55"/>
        <v>66956.099999999977</v>
      </c>
      <c r="B1779" s="72">
        <f t="shared" si="54"/>
        <v>23950</v>
      </c>
      <c r="C1779" s="70">
        <v>1778</v>
      </c>
      <c r="D1779" s="65">
        <v>25830</v>
      </c>
      <c r="E1779" s="66">
        <v>1880</v>
      </c>
      <c r="F1779" s="85">
        <v>45823</v>
      </c>
      <c r="G1779" s="64" t="s">
        <v>333</v>
      </c>
      <c r="H1779"/>
      <c r="I1779"/>
    </row>
    <row r="1780" spans="1:9" x14ac:dyDescent="0.35">
      <c r="A1780" s="71">
        <f t="shared" si="55"/>
        <v>66926.099999999977</v>
      </c>
      <c r="B1780" s="72">
        <f t="shared" si="54"/>
        <v>-30</v>
      </c>
      <c r="C1780" s="70">
        <v>1779</v>
      </c>
      <c r="E1780" s="66">
        <v>30</v>
      </c>
      <c r="F1780" s="85">
        <v>45823</v>
      </c>
      <c r="G1780" s="64" t="s">
        <v>53</v>
      </c>
      <c r="H1780"/>
      <c r="I1780"/>
    </row>
    <row r="1781" spans="1:9" x14ac:dyDescent="0.35">
      <c r="A1781" s="71">
        <f t="shared" si="55"/>
        <v>66901.099999999977</v>
      </c>
      <c r="B1781" s="72">
        <f t="shared" si="54"/>
        <v>-25</v>
      </c>
      <c r="C1781" s="70">
        <v>1780</v>
      </c>
      <c r="E1781" s="66">
        <v>25</v>
      </c>
      <c r="F1781" s="85">
        <v>45823</v>
      </c>
      <c r="G1781" s="64" t="s">
        <v>362</v>
      </c>
      <c r="H1781"/>
      <c r="I1781"/>
    </row>
    <row r="1782" spans="1:9" x14ac:dyDescent="0.35">
      <c r="A1782" s="71">
        <f t="shared" si="55"/>
        <v>66581.099999999977</v>
      </c>
      <c r="B1782" s="72">
        <f t="shared" si="54"/>
        <v>-320</v>
      </c>
      <c r="C1782" s="70">
        <v>1781</v>
      </c>
      <c r="E1782" s="66">
        <v>320</v>
      </c>
      <c r="F1782" s="85">
        <v>45823</v>
      </c>
      <c r="G1782" s="64" t="s">
        <v>75</v>
      </c>
      <c r="H1782"/>
      <c r="I1782"/>
    </row>
    <row r="1783" spans="1:9" x14ac:dyDescent="0.35">
      <c r="A1783" s="71">
        <f t="shared" si="55"/>
        <v>64281.099999999977</v>
      </c>
      <c r="B1783" s="72">
        <f t="shared" si="54"/>
        <v>-2300</v>
      </c>
      <c r="C1783" s="70">
        <v>1782</v>
      </c>
      <c r="E1783" s="66">
        <v>2300</v>
      </c>
      <c r="F1783" s="85">
        <v>45823</v>
      </c>
      <c r="G1783" s="64" t="s">
        <v>960</v>
      </c>
      <c r="H1783"/>
      <c r="I1783"/>
    </row>
    <row r="1784" spans="1:9" x14ac:dyDescent="0.35">
      <c r="A1784" s="71">
        <f t="shared" si="55"/>
        <v>63281.099999999977</v>
      </c>
      <c r="B1784" s="72">
        <f t="shared" si="54"/>
        <v>-1000</v>
      </c>
      <c r="C1784" s="70">
        <v>1783</v>
      </c>
      <c r="E1784" s="66">
        <v>1000</v>
      </c>
      <c r="F1784" s="85">
        <v>45823</v>
      </c>
      <c r="G1784" s="64" t="s">
        <v>759</v>
      </c>
      <c r="H1784"/>
      <c r="I1784"/>
    </row>
    <row r="1785" spans="1:9" x14ac:dyDescent="0.35">
      <c r="A1785" s="71">
        <f t="shared" si="55"/>
        <v>63111.099999999977</v>
      </c>
      <c r="B1785" s="72">
        <f t="shared" si="54"/>
        <v>-170</v>
      </c>
      <c r="C1785" s="70">
        <v>1784</v>
      </c>
      <c r="E1785" s="66">
        <v>170</v>
      </c>
      <c r="F1785" s="85">
        <v>45823</v>
      </c>
      <c r="G1785" s="64" t="s">
        <v>752</v>
      </c>
      <c r="H1785"/>
      <c r="I1785"/>
    </row>
    <row r="1786" spans="1:9" x14ac:dyDescent="0.35">
      <c r="A1786" s="71">
        <f t="shared" si="55"/>
        <v>76060.099999999977</v>
      </c>
      <c r="B1786" s="72">
        <f t="shared" si="54"/>
        <v>12949</v>
      </c>
      <c r="C1786" s="70">
        <v>1785</v>
      </c>
      <c r="D1786" s="65">
        <v>13105</v>
      </c>
      <c r="E1786" s="66">
        <v>156</v>
      </c>
      <c r="F1786" s="85">
        <v>45824</v>
      </c>
      <c r="G1786" s="64" t="s">
        <v>961</v>
      </c>
      <c r="H1786"/>
      <c r="I1786"/>
    </row>
    <row r="1787" spans="1:9" x14ac:dyDescent="0.35">
      <c r="A1787" s="71">
        <f t="shared" si="55"/>
        <v>76060.099999999977</v>
      </c>
      <c r="B1787" s="72">
        <f t="shared" si="54"/>
        <v>0</v>
      </c>
      <c r="C1787" s="70">
        <v>1786</v>
      </c>
      <c r="D1787" s="65">
        <v>7000</v>
      </c>
      <c r="E1787" s="66">
        <v>7000</v>
      </c>
      <c r="F1787" s="85">
        <v>45824</v>
      </c>
      <c r="G1787" s="64" t="s">
        <v>1354</v>
      </c>
      <c r="H1787"/>
      <c r="I1787"/>
    </row>
    <row r="1788" spans="1:9" x14ac:dyDescent="0.35">
      <c r="A1788" s="71">
        <f t="shared" si="55"/>
        <v>75985.099999999977</v>
      </c>
      <c r="B1788" s="72">
        <f t="shared" si="54"/>
        <v>-75</v>
      </c>
      <c r="C1788" s="70">
        <v>1787</v>
      </c>
      <c r="E1788" s="66">
        <v>75</v>
      </c>
      <c r="F1788" s="85">
        <v>45824</v>
      </c>
      <c r="G1788" s="64" t="s">
        <v>476</v>
      </c>
      <c r="H1788"/>
      <c r="I1788"/>
    </row>
    <row r="1789" spans="1:9" x14ac:dyDescent="0.35">
      <c r="A1789" s="71">
        <f t="shared" si="55"/>
        <v>75965.099999999977</v>
      </c>
      <c r="B1789" s="72">
        <f t="shared" si="54"/>
        <v>-20</v>
      </c>
      <c r="C1789" s="70">
        <v>1788</v>
      </c>
      <c r="E1789" s="66">
        <v>20</v>
      </c>
      <c r="F1789" s="85">
        <v>45824</v>
      </c>
      <c r="G1789" s="64" t="s">
        <v>243</v>
      </c>
      <c r="H1789"/>
      <c r="I1789"/>
    </row>
    <row r="1790" spans="1:9" x14ac:dyDescent="0.35">
      <c r="A1790" s="71">
        <f t="shared" si="55"/>
        <v>75834.099999999977</v>
      </c>
      <c r="B1790" s="72">
        <f t="shared" si="54"/>
        <v>-131</v>
      </c>
      <c r="C1790" s="70">
        <v>1789</v>
      </c>
      <c r="E1790" s="66">
        <v>131</v>
      </c>
      <c r="F1790" s="85">
        <v>45824</v>
      </c>
      <c r="G1790" s="64" t="s">
        <v>250</v>
      </c>
      <c r="H1790"/>
      <c r="I1790"/>
    </row>
    <row r="1791" spans="1:9" x14ac:dyDescent="0.35">
      <c r="A1791" s="71">
        <f t="shared" si="55"/>
        <v>117789.09999999998</v>
      </c>
      <c r="B1791" s="72">
        <f t="shared" si="54"/>
        <v>41955</v>
      </c>
      <c r="C1791" s="70">
        <v>1790</v>
      </c>
      <c r="D1791" s="65">
        <v>63655</v>
      </c>
      <c r="E1791" s="66">
        <v>21700</v>
      </c>
      <c r="F1791" s="85">
        <v>45825</v>
      </c>
      <c r="G1791" s="64" t="s">
        <v>963</v>
      </c>
      <c r="H1791"/>
      <c r="I1791"/>
    </row>
    <row r="1792" spans="1:9" x14ac:dyDescent="0.35">
      <c r="A1792" s="71">
        <f t="shared" si="55"/>
        <v>112789.09999999998</v>
      </c>
      <c r="B1792" s="72">
        <f t="shared" si="54"/>
        <v>-5000</v>
      </c>
      <c r="C1792" s="70">
        <v>1791</v>
      </c>
      <c r="E1792" s="66">
        <v>5000</v>
      </c>
      <c r="F1792" s="85">
        <v>45825</v>
      </c>
      <c r="G1792" s="64" t="s">
        <v>964</v>
      </c>
      <c r="H1792"/>
      <c r="I1792"/>
    </row>
    <row r="1793" spans="1:9" x14ac:dyDescent="0.35">
      <c r="A1793" s="71">
        <f t="shared" si="55"/>
        <v>112609.09999999998</v>
      </c>
      <c r="B1793" s="72">
        <f t="shared" si="54"/>
        <v>-180</v>
      </c>
      <c r="C1793" s="70">
        <v>1792</v>
      </c>
      <c r="E1793" s="66">
        <v>180</v>
      </c>
      <c r="F1793" s="85">
        <v>45825</v>
      </c>
      <c r="G1793" s="64" t="s">
        <v>965</v>
      </c>
      <c r="H1793"/>
      <c r="I1793"/>
    </row>
    <row r="1794" spans="1:9" x14ac:dyDescent="0.35">
      <c r="A1794" s="71">
        <f t="shared" si="55"/>
        <v>112524.09999999998</v>
      </c>
      <c r="B1794" s="72">
        <f t="shared" si="54"/>
        <v>-85</v>
      </c>
      <c r="C1794" s="70">
        <v>1793</v>
      </c>
      <c r="E1794" s="66">
        <v>85</v>
      </c>
      <c r="F1794" s="85">
        <v>45825</v>
      </c>
      <c r="G1794" s="64" t="s">
        <v>400</v>
      </c>
      <c r="H1794"/>
      <c r="I1794"/>
    </row>
    <row r="1795" spans="1:9" x14ac:dyDescent="0.35">
      <c r="A1795" s="71">
        <f t="shared" si="55"/>
        <v>112449.09999999998</v>
      </c>
      <c r="B1795" s="72">
        <f t="shared" ref="B1795:B1858" si="56">SUM(D1795-E1795)</f>
        <v>-75</v>
      </c>
      <c r="C1795" s="70">
        <v>1794</v>
      </c>
      <c r="E1795" s="66">
        <v>75</v>
      </c>
      <c r="F1795" s="85">
        <v>45825</v>
      </c>
      <c r="G1795" s="64" t="s">
        <v>484</v>
      </c>
      <c r="H1795"/>
      <c r="I1795"/>
    </row>
    <row r="1796" spans="1:9" x14ac:dyDescent="0.35">
      <c r="A1796" s="71">
        <f t="shared" ref="A1796:A1859" si="57">SUM(A1795+B1796)</f>
        <v>112329.09999999998</v>
      </c>
      <c r="B1796" s="72">
        <f t="shared" si="56"/>
        <v>-120</v>
      </c>
      <c r="C1796" s="70">
        <v>1795</v>
      </c>
      <c r="E1796" s="66">
        <v>120</v>
      </c>
      <c r="F1796" s="85">
        <v>45825</v>
      </c>
      <c r="G1796" s="64" t="s">
        <v>65</v>
      </c>
      <c r="H1796"/>
      <c r="I1796"/>
    </row>
    <row r="1797" spans="1:9" x14ac:dyDescent="0.35">
      <c r="A1797" s="71">
        <f t="shared" si="57"/>
        <v>112129.09999999998</v>
      </c>
      <c r="B1797" s="72">
        <f t="shared" si="56"/>
        <v>-200</v>
      </c>
      <c r="C1797" s="70">
        <v>1796</v>
      </c>
      <c r="E1797" s="66">
        <v>200</v>
      </c>
      <c r="F1797" s="85">
        <v>45825</v>
      </c>
      <c r="G1797" s="64" t="s">
        <v>1002</v>
      </c>
      <c r="H1797"/>
      <c r="I1797"/>
    </row>
    <row r="1798" spans="1:9" x14ac:dyDescent="0.35">
      <c r="A1798" s="71">
        <f t="shared" si="57"/>
        <v>112129.09999999998</v>
      </c>
      <c r="B1798" s="72">
        <f t="shared" si="56"/>
        <v>0</v>
      </c>
      <c r="C1798" s="70">
        <v>1797</v>
      </c>
      <c r="D1798" s="65">
        <v>5000</v>
      </c>
      <c r="E1798" s="66">
        <v>5000</v>
      </c>
      <c r="F1798" s="85">
        <v>45826</v>
      </c>
      <c r="G1798" s="64" t="s">
        <v>357</v>
      </c>
      <c r="H1798"/>
      <c r="I1798"/>
    </row>
    <row r="1799" spans="1:9" x14ac:dyDescent="0.35">
      <c r="A1799" s="71">
        <f t="shared" si="57"/>
        <v>111779.09999999998</v>
      </c>
      <c r="B1799" s="72">
        <f t="shared" si="56"/>
        <v>-350</v>
      </c>
      <c r="C1799" s="70">
        <v>1798</v>
      </c>
      <c r="E1799" s="66">
        <v>350</v>
      </c>
      <c r="F1799" s="85">
        <v>45826</v>
      </c>
      <c r="G1799" s="64" t="s">
        <v>966</v>
      </c>
      <c r="H1799"/>
      <c r="I1799"/>
    </row>
    <row r="1800" spans="1:9" x14ac:dyDescent="0.35">
      <c r="A1800" s="71">
        <f t="shared" si="57"/>
        <v>147549.09999999998</v>
      </c>
      <c r="B1800" s="72">
        <f t="shared" si="56"/>
        <v>35770</v>
      </c>
      <c r="C1800" s="70">
        <v>1799</v>
      </c>
      <c r="D1800" s="65">
        <v>35845</v>
      </c>
      <c r="E1800" s="66">
        <v>75</v>
      </c>
      <c r="F1800" s="85">
        <v>45826</v>
      </c>
      <c r="G1800" s="64" t="s">
        <v>485</v>
      </c>
      <c r="H1800"/>
      <c r="I1800"/>
    </row>
    <row r="1801" spans="1:9" x14ac:dyDescent="0.35">
      <c r="A1801" s="71">
        <f t="shared" si="57"/>
        <v>147499.09999999998</v>
      </c>
      <c r="B1801" s="72">
        <f t="shared" si="56"/>
        <v>-50</v>
      </c>
      <c r="C1801" s="70">
        <v>1800</v>
      </c>
      <c r="E1801" s="66">
        <v>50</v>
      </c>
      <c r="F1801" s="85">
        <v>45826</v>
      </c>
      <c r="G1801" s="64" t="s">
        <v>967</v>
      </c>
      <c r="H1801"/>
      <c r="I1801"/>
    </row>
    <row r="1802" spans="1:9" x14ac:dyDescent="0.35">
      <c r="A1802" s="71">
        <f t="shared" si="57"/>
        <v>144399.09999999998</v>
      </c>
      <c r="B1802" s="72">
        <f t="shared" si="56"/>
        <v>-3100</v>
      </c>
      <c r="C1802" s="70">
        <v>1801</v>
      </c>
      <c r="E1802" s="66">
        <v>3100</v>
      </c>
      <c r="F1802" s="85">
        <v>45827</v>
      </c>
      <c r="G1802" s="64" t="s">
        <v>980</v>
      </c>
      <c r="H1802"/>
      <c r="I1802"/>
    </row>
    <row r="1803" spans="1:9" x14ac:dyDescent="0.35">
      <c r="A1803" s="71">
        <f t="shared" si="57"/>
        <v>146469.09999999998</v>
      </c>
      <c r="B1803" s="72">
        <f t="shared" si="56"/>
        <v>2070</v>
      </c>
      <c r="C1803" s="70">
        <v>1802</v>
      </c>
      <c r="D1803" s="65">
        <v>2480</v>
      </c>
      <c r="E1803" s="66">
        <v>410</v>
      </c>
      <c r="F1803" s="85">
        <v>45827</v>
      </c>
      <c r="G1803" s="64" t="s">
        <v>981</v>
      </c>
      <c r="H1803"/>
      <c r="I1803"/>
    </row>
    <row r="1804" spans="1:9" x14ac:dyDescent="0.35">
      <c r="A1804" s="71">
        <f t="shared" si="57"/>
        <v>141469.09999999998</v>
      </c>
      <c r="B1804" s="72">
        <f t="shared" si="56"/>
        <v>-5000</v>
      </c>
      <c r="C1804" s="70">
        <v>1803</v>
      </c>
      <c r="E1804" s="66">
        <v>5000</v>
      </c>
      <c r="F1804" s="85">
        <v>45827</v>
      </c>
      <c r="G1804" s="64" t="s">
        <v>969</v>
      </c>
      <c r="H1804"/>
      <c r="I1804"/>
    </row>
    <row r="1805" spans="1:9" x14ac:dyDescent="0.35">
      <c r="A1805" s="71">
        <f t="shared" si="57"/>
        <v>140819.09999999998</v>
      </c>
      <c r="B1805" s="72">
        <f t="shared" si="56"/>
        <v>-650</v>
      </c>
      <c r="C1805" s="70">
        <v>1804</v>
      </c>
      <c r="E1805" s="66">
        <v>650</v>
      </c>
      <c r="F1805" s="85">
        <v>45829</v>
      </c>
      <c r="G1805" s="64" t="s">
        <v>970</v>
      </c>
      <c r="H1805"/>
      <c r="I1805"/>
    </row>
    <row r="1806" spans="1:9" x14ac:dyDescent="0.35">
      <c r="A1806" s="71">
        <f t="shared" si="57"/>
        <v>148559.09999999998</v>
      </c>
      <c r="B1806" s="72">
        <f t="shared" si="56"/>
        <v>7740</v>
      </c>
      <c r="C1806" s="70">
        <v>1805</v>
      </c>
      <c r="D1806" s="65">
        <v>7990</v>
      </c>
      <c r="E1806" s="66">
        <v>250</v>
      </c>
      <c r="F1806" s="85">
        <v>45829</v>
      </c>
      <c r="G1806" s="64" t="s">
        <v>971</v>
      </c>
      <c r="H1806"/>
      <c r="I1806"/>
    </row>
    <row r="1807" spans="1:9" x14ac:dyDescent="0.35">
      <c r="A1807" s="71">
        <f t="shared" si="57"/>
        <v>186214.09999999998</v>
      </c>
      <c r="B1807" s="72">
        <f t="shared" si="56"/>
        <v>37655</v>
      </c>
      <c r="C1807" s="70">
        <v>1806</v>
      </c>
      <c r="D1807" s="65">
        <v>37655</v>
      </c>
      <c r="F1807" s="85">
        <v>45830</v>
      </c>
      <c r="G1807" s="64" t="s">
        <v>12</v>
      </c>
      <c r="H1807"/>
      <c r="I1807"/>
    </row>
    <row r="1808" spans="1:9" x14ac:dyDescent="0.35">
      <c r="A1808" s="71">
        <f t="shared" si="57"/>
        <v>186164.09999999998</v>
      </c>
      <c r="B1808" s="72">
        <f t="shared" si="56"/>
        <v>-50</v>
      </c>
      <c r="C1808" s="70">
        <v>1807</v>
      </c>
      <c r="E1808" s="66">
        <v>50</v>
      </c>
      <c r="F1808" s="85">
        <v>45830</v>
      </c>
      <c r="G1808" s="64" t="s">
        <v>865</v>
      </c>
      <c r="H1808"/>
      <c r="I1808"/>
    </row>
    <row r="1809" spans="1:9" x14ac:dyDescent="0.35">
      <c r="A1809" s="71">
        <f t="shared" si="57"/>
        <v>186089.09999999998</v>
      </c>
      <c r="B1809" s="72">
        <f t="shared" si="56"/>
        <v>-75</v>
      </c>
      <c r="C1809" s="70">
        <v>1808</v>
      </c>
      <c r="E1809" s="66">
        <v>75</v>
      </c>
      <c r="F1809" s="85">
        <v>45830</v>
      </c>
      <c r="G1809" s="64" t="s">
        <v>873</v>
      </c>
      <c r="H1809"/>
      <c r="I1809"/>
    </row>
    <row r="1810" spans="1:9" x14ac:dyDescent="0.35">
      <c r="A1810" s="71">
        <f t="shared" si="57"/>
        <v>186039.09999999998</v>
      </c>
      <c r="B1810" s="72">
        <f t="shared" si="56"/>
        <v>-50</v>
      </c>
      <c r="C1810" s="70">
        <v>1809</v>
      </c>
      <c r="E1810" s="66">
        <v>50</v>
      </c>
      <c r="F1810" s="85">
        <v>45830</v>
      </c>
      <c r="G1810" s="64" t="s">
        <v>972</v>
      </c>
      <c r="H1810"/>
      <c r="I1810"/>
    </row>
    <row r="1811" spans="1:9" x14ac:dyDescent="0.35">
      <c r="A1811" s="71">
        <f t="shared" si="57"/>
        <v>210554.09999999998</v>
      </c>
      <c r="B1811" s="72">
        <f t="shared" si="56"/>
        <v>24515</v>
      </c>
      <c r="C1811" s="70">
        <v>1810</v>
      </c>
      <c r="D1811" s="65">
        <v>24515</v>
      </c>
      <c r="F1811" s="85">
        <v>45831</v>
      </c>
      <c r="H1811"/>
      <c r="I1811"/>
    </row>
    <row r="1812" spans="1:9" x14ac:dyDescent="0.35">
      <c r="A1812" s="71">
        <f t="shared" si="57"/>
        <v>180554.09999999998</v>
      </c>
      <c r="B1812" s="72">
        <f t="shared" si="56"/>
        <v>-30000</v>
      </c>
      <c r="C1812" s="70">
        <v>1811</v>
      </c>
      <c r="E1812" s="66">
        <v>30000</v>
      </c>
      <c r="F1812" s="85">
        <v>45831</v>
      </c>
      <c r="G1812" s="64" t="s">
        <v>973</v>
      </c>
      <c r="H1812"/>
      <c r="I1812"/>
    </row>
    <row r="1813" spans="1:9" x14ac:dyDescent="0.35">
      <c r="A1813" s="71">
        <f t="shared" si="57"/>
        <v>180479.09999999998</v>
      </c>
      <c r="B1813" s="72">
        <f t="shared" si="56"/>
        <v>-75</v>
      </c>
      <c r="C1813" s="70">
        <v>1812</v>
      </c>
      <c r="E1813" s="66">
        <v>75</v>
      </c>
      <c r="F1813" s="85">
        <v>45831</v>
      </c>
      <c r="G1813" s="64" t="s">
        <v>626</v>
      </c>
      <c r="H1813"/>
      <c r="I1813"/>
    </row>
    <row r="1814" spans="1:9" x14ac:dyDescent="0.35">
      <c r="A1814" s="71">
        <f t="shared" si="57"/>
        <v>180324.09999999998</v>
      </c>
      <c r="B1814" s="72">
        <f t="shared" si="56"/>
        <v>-155</v>
      </c>
      <c r="C1814" s="70">
        <v>1813</v>
      </c>
      <c r="E1814" s="66">
        <v>155</v>
      </c>
      <c r="F1814" s="85">
        <v>45831</v>
      </c>
      <c r="G1814" s="64" t="s">
        <v>974</v>
      </c>
      <c r="H1814"/>
      <c r="I1814"/>
    </row>
    <row r="1815" spans="1:9" x14ac:dyDescent="0.35">
      <c r="A1815" s="71">
        <f t="shared" si="57"/>
        <v>180004.09999999998</v>
      </c>
      <c r="B1815" s="72">
        <f t="shared" si="56"/>
        <v>-320</v>
      </c>
      <c r="C1815" s="70">
        <v>1814</v>
      </c>
      <c r="E1815" s="66">
        <v>320</v>
      </c>
      <c r="F1815" s="85">
        <v>45831</v>
      </c>
      <c r="G1815" s="64" t="s">
        <v>75</v>
      </c>
      <c r="H1815"/>
      <c r="I1815"/>
    </row>
    <row r="1816" spans="1:9" x14ac:dyDescent="0.35">
      <c r="A1816" s="71">
        <f t="shared" si="57"/>
        <v>179964.09999999998</v>
      </c>
      <c r="B1816" s="72">
        <f t="shared" si="56"/>
        <v>-40</v>
      </c>
      <c r="C1816" s="70">
        <v>1815</v>
      </c>
      <c r="E1816" s="66">
        <v>40</v>
      </c>
      <c r="F1816" s="85">
        <v>45831</v>
      </c>
      <c r="G1816" s="64" t="s">
        <v>41</v>
      </c>
      <c r="H1816"/>
      <c r="I1816"/>
    </row>
    <row r="1817" spans="1:9" x14ac:dyDescent="0.35">
      <c r="A1817" s="71">
        <f t="shared" si="57"/>
        <v>179964.09999999998</v>
      </c>
      <c r="B1817" s="72">
        <f t="shared" si="56"/>
        <v>0</v>
      </c>
      <c r="C1817" s="70">
        <v>1816</v>
      </c>
      <c r="D1817" s="65">
        <v>1500</v>
      </c>
      <c r="E1817" s="66">
        <v>1500</v>
      </c>
      <c r="F1817" s="85">
        <v>45832</v>
      </c>
      <c r="G1817" s="64" t="s">
        <v>994</v>
      </c>
      <c r="H1817"/>
      <c r="I1817"/>
    </row>
    <row r="1818" spans="1:9" x14ac:dyDescent="0.35">
      <c r="A1818" s="71">
        <f t="shared" si="57"/>
        <v>176764.09999999998</v>
      </c>
      <c r="B1818" s="72">
        <f t="shared" si="56"/>
        <v>-3200</v>
      </c>
      <c r="C1818" s="70">
        <v>1817</v>
      </c>
      <c r="E1818" s="66">
        <v>3200</v>
      </c>
      <c r="F1818" s="85">
        <v>45832</v>
      </c>
      <c r="G1818" s="64" t="s">
        <v>975</v>
      </c>
      <c r="H1818"/>
      <c r="I1818"/>
    </row>
    <row r="1819" spans="1:9" x14ac:dyDescent="0.35">
      <c r="A1819" s="71">
        <f t="shared" si="57"/>
        <v>226274.09999999998</v>
      </c>
      <c r="B1819" s="72">
        <f t="shared" si="56"/>
        <v>49510</v>
      </c>
      <c r="C1819" s="70">
        <v>1818</v>
      </c>
      <c r="D1819" s="65">
        <v>49850</v>
      </c>
      <c r="E1819" s="66">
        <v>340</v>
      </c>
      <c r="F1819" s="85">
        <v>45832</v>
      </c>
      <c r="G1819" s="64" t="s">
        <v>2</v>
      </c>
      <c r="H1819"/>
      <c r="I1819"/>
    </row>
    <row r="1820" spans="1:9" x14ac:dyDescent="0.35">
      <c r="A1820" s="71">
        <f t="shared" si="57"/>
        <v>225924.09999999998</v>
      </c>
      <c r="B1820" s="72">
        <f t="shared" si="56"/>
        <v>-350</v>
      </c>
      <c r="C1820" s="70">
        <v>1819</v>
      </c>
      <c r="E1820" s="66">
        <v>350</v>
      </c>
      <c r="F1820" s="85">
        <v>45832</v>
      </c>
      <c r="G1820" s="64" t="s">
        <v>976</v>
      </c>
      <c r="H1820"/>
      <c r="I1820"/>
    </row>
    <row r="1821" spans="1:9" x14ac:dyDescent="0.35">
      <c r="A1821" s="71">
        <f t="shared" si="57"/>
        <v>225424.09999999998</v>
      </c>
      <c r="B1821" s="72">
        <f t="shared" si="56"/>
        <v>-500</v>
      </c>
      <c r="C1821" s="70">
        <v>1820</v>
      </c>
      <c r="E1821" s="66">
        <v>500</v>
      </c>
      <c r="F1821" s="85">
        <v>45832</v>
      </c>
      <c r="G1821" s="64" t="s">
        <v>978</v>
      </c>
      <c r="H1821"/>
      <c r="I1821"/>
    </row>
    <row r="1822" spans="1:9" x14ac:dyDescent="0.35">
      <c r="A1822" s="71">
        <f t="shared" si="57"/>
        <v>225234.09999999998</v>
      </c>
      <c r="B1822" s="72">
        <f t="shared" si="56"/>
        <v>-190</v>
      </c>
      <c r="C1822" s="70">
        <v>1821</v>
      </c>
      <c r="E1822" s="66">
        <v>190</v>
      </c>
      <c r="F1822" s="85">
        <v>45832</v>
      </c>
      <c r="G1822" s="64" t="s">
        <v>977</v>
      </c>
      <c r="H1822"/>
      <c r="I1822"/>
    </row>
    <row r="1823" spans="1:9" x14ac:dyDescent="0.35">
      <c r="A1823" s="71">
        <f t="shared" si="57"/>
        <v>225160.09999999998</v>
      </c>
      <c r="B1823" s="72">
        <f t="shared" si="56"/>
        <v>-74</v>
      </c>
      <c r="C1823" s="70">
        <v>1822</v>
      </c>
      <c r="E1823" s="66">
        <v>74</v>
      </c>
      <c r="F1823" s="85">
        <v>45832</v>
      </c>
      <c r="G1823" s="64" t="s">
        <v>131</v>
      </c>
      <c r="H1823"/>
      <c r="I1823"/>
    </row>
    <row r="1824" spans="1:9" x14ac:dyDescent="0.35">
      <c r="A1824" s="71">
        <f t="shared" si="57"/>
        <v>243580.09999999998</v>
      </c>
      <c r="B1824" s="72">
        <f t="shared" si="56"/>
        <v>18420</v>
      </c>
      <c r="C1824" s="70">
        <v>1823</v>
      </c>
      <c r="D1824" s="65">
        <v>18570</v>
      </c>
      <c r="E1824" s="66">
        <v>150</v>
      </c>
      <c r="F1824" s="85">
        <v>45833</v>
      </c>
      <c r="G1824" s="64" t="s">
        <v>491</v>
      </c>
      <c r="H1824"/>
      <c r="I1824"/>
    </row>
    <row r="1825" spans="1:9" x14ac:dyDescent="0.35">
      <c r="A1825" s="71">
        <f t="shared" si="57"/>
        <v>243260.09999999998</v>
      </c>
      <c r="B1825" s="72">
        <f t="shared" si="56"/>
        <v>-320</v>
      </c>
      <c r="C1825" s="70">
        <v>1824</v>
      </c>
      <c r="E1825" s="66">
        <v>320</v>
      </c>
      <c r="F1825" s="85">
        <v>45833</v>
      </c>
      <c r="G1825" s="64" t="s">
        <v>75</v>
      </c>
      <c r="H1825"/>
      <c r="I1825"/>
    </row>
    <row r="1826" spans="1:9" x14ac:dyDescent="0.35">
      <c r="A1826" s="71">
        <f t="shared" si="57"/>
        <v>143260.09999999998</v>
      </c>
      <c r="B1826" s="72">
        <f t="shared" si="56"/>
        <v>-100000</v>
      </c>
      <c r="C1826" s="70">
        <v>1825</v>
      </c>
      <c r="E1826" s="66">
        <v>100000</v>
      </c>
      <c r="F1826" s="85">
        <v>45833</v>
      </c>
      <c r="G1826" s="64" t="s">
        <v>979</v>
      </c>
      <c r="H1826"/>
      <c r="I1826"/>
    </row>
    <row r="1827" spans="1:9" x14ac:dyDescent="0.35">
      <c r="A1827" s="71">
        <f t="shared" si="57"/>
        <v>123260.09999999998</v>
      </c>
      <c r="B1827" s="72">
        <f t="shared" si="56"/>
        <v>-20000</v>
      </c>
      <c r="C1827" s="70">
        <v>1826</v>
      </c>
      <c r="E1827" s="66">
        <v>20000</v>
      </c>
      <c r="F1827" s="85">
        <v>45833</v>
      </c>
      <c r="G1827" s="64" t="s">
        <v>1003</v>
      </c>
      <c r="H1827"/>
      <c r="I1827"/>
    </row>
    <row r="1828" spans="1:9" x14ac:dyDescent="0.35">
      <c r="A1828" s="71">
        <f t="shared" si="57"/>
        <v>120860.09999999998</v>
      </c>
      <c r="B1828" s="72">
        <f t="shared" si="56"/>
        <v>-2400</v>
      </c>
      <c r="C1828" s="70">
        <v>1827</v>
      </c>
      <c r="E1828" s="66">
        <v>2400</v>
      </c>
      <c r="F1828" s="85">
        <v>45834</v>
      </c>
      <c r="G1828" s="64" t="s">
        <v>982</v>
      </c>
      <c r="H1828"/>
      <c r="I1828"/>
    </row>
    <row r="1829" spans="1:9" x14ac:dyDescent="0.35">
      <c r="A1829" s="71">
        <f t="shared" si="57"/>
        <v>122130.09999999998</v>
      </c>
      <c r="B1829" s="72">
        <f t="shared" si="56"/>
        <v>1270</v>
      </c>
      <c r="C1829" s="70">
        <v>1828</v>
      </c>
      <c r="D1829" s="65">
        <v>1270</v>
      </c>
      <c r="F1829" s="85">
        <v>45834</v>
      </c>
      <c r="G1829" s="64" t="s">
        <v>12</v>
      </c>
      <c r="H1829"/>
      <c r="I1829"/>
    </row>
    <row r="1830" spans="1:9" x14ac:dyDescent="0.35">
      <c r="A1830" s="71">
        <f t="shared" si="57"/>
        <v>121855.09999999998</v>
      </c>
      <c r="B1830" s="72">
        <f t="shared" si="56"/>
        <v>-275</v>
      </c>
      <c r="C1830" s="70">
        <v>1829</v>
      </c>
      <c r="E1830" s="66">
        <v>275</v>
      </c>
      <c r="F1830" s="85">
        <v>45834</v>
      </c>
      <c r="G1830" s="64" t="s">
        <v>984</v>
      </c>
      <c r="H1830"/>
      <c r="I1830"/>
    </row>
    <row r="1831" spans="1:9" x14ac:dyDescent="0.35">
      <c r="A1831" s="71">
        <f t="shared" si="57"/>
        <v>121655.09999999998</v>
      </c>
      <c r="B1831" s="72">
        <f t="shared" si="56"/>
        <v>-200</v>
      </c>
      <c r="C1831" s="70">
        <v>1830</v>
      </c>
      <c r="E1831" s="66">
        <v>200</v>
      </c>
      <c r="F1831" s="85">
        <v>45834</v>
      </c>
      <c r="G1831" s="64" t="s">
        <v>985</v>
      </c>
      <c r="H1831"/>
      <c r="I1831"/>
    </row>
    <row r="1832" spans="1:9" x14ac:dyDescent="0.35">
      <c r="A1832" s="71">
        <f t="shared" si="57"/>
        <v>121495.09999999998</v>
      </c>
      <c r="B1832" s="72">
        <f t="shared" si="56"/>
        <v>-160</v>
      </c>
      <c r="C1832" s="70">
        <v>1831</v>
      </c>
      <c r="E1832" s="66">
        <v>160</v>
      </c>
      <c r="F1832" s="85">
        <v>45834</v>
      </c>
      <c r="G1832" s="64" t="s">
        <v>171</v>
      </c>
      <c r="H1832"/>
      <c r="I1832"/>
    </row>
    <row r="1833" spans="1:9" x14ac:dyDescent="0.35">
      <c r="A1833" s="71">
        <f t="shared" si="57"/>
        <v>120495.09999999998</v>
      </c>
      <c r="B1833" s="72">
        <f t="shared" si="56"/>
        <v>-1000</v>
      </c>
      <c r="C1833" s="70">
        <v>1832</v>
      </c>
      <c r="E1833" s="66">
        <v>1000</v>
      </c>
      <c r="F1833" s="85">
        <v>45836</v>
      </c>
      <c r="G1833" s="64" t="s">
        <v>983</v>
      </c>
      <c r="H1833"/>
      <c r="I1833"/>
    </row>
    <row r="1834" spans="1:9" x14ac:dyDescent="0.35">
      <c r="A1834" s="71">
        <f t="shared" si="57"/>
        <v>131325.09999999998</v>
      </c>
      <c r="B1834" s="72">
        <f t="shared" si="56"/>
        <v>10830</v>
      </c>
      <c r="C1834" s="70">
        <v>1833</v>
      </c>
      <c r="D1834" s="65">
        <v>10830</v>
      </c>
      <c r="F1834" s="85">
        <v>45836</v>
      </c>
      <c r="G1834" s="64" t="s">
        <v>12</v>
      </c>
      <c r="H1834"/>
      <c r="I1834"/>
    </row>
    <row r="1835" spans="1:9" x14ac:dyDescent="0.35">
      <c r="A1835" s="71">
        <f t="shared" si="57"/>
        <v>129325.09999999998</v>
      </c>
      <c r="B1835" s="72">
        <f t="shared" si="56"/>
        <v>-2000</v>
      </c>
      <c r="C1835" s="70">
        <v>1834</v>
      </c>
      <c r="E1835" s="66">
        <v>2000</v>
      </c>
      <c r="F1835" s="85">
        <v>45836</v>
      </c>
      <c r="G1835" s="64" t="s">
        <v>64</v>
      </c>
      <c r="H1835"/>
      <c r="I1835"/>
    </row>
    <row r="1836" spans="1:9" x14ac:dyDescent="0.35">
      <c r="A1836" s="71">
        <f t="shared" si="57"/>
        <v>128775.09999999998</v>
      </c>
      <c r="B1836" s="72">
        <f t="shared" si="56"/>
        <v>-550</v>
      </c>
      <c r="C1836" s="70">
        <v>1835</v>
      </c>
      <c r="E1836" s="66">
        <v>550</v>
      </c>
      <c r="F1836" s="85">
        <v>45837</v>
      </c>
      <c r="G1836" s="64" t="s">
        <v>986</v>
      </c>
      <c r="H1836"/>
      <c r="I1836"/>
    </row>
    <row r="1837" spans="1:9" x14ac:dyDescent="0.35">
      <c r="A1837" s="71">
        <f t="shared" si="57"/>
        <v>164450.09999999998</v>
      </c>
      <c r="B1837" s="72">
        <f t="shared" si="56"/>
        <v>35675</v>
      </c>
      <c r="C1837" s="70">
        <v>1836</v>
      </c>
      <c r="D1837" s="65">
        <v>35725</v>
      </c>
      <c r="E1837" s="66">
        <v>50</v>
      </c>
      <c r="F1837" s="85">
        <v>45837</v>
      </c>
      <c r="G1837" s="64" t="s">
        <v>990</v>
      </c>
      <c r="H1837"/>
      <c r="I1837"/>
    </row>
    <row r="1838" spans="1:9" x14ac:dyDescent="0.35">
      <c r="A1838" s="71">
        <f t="shared" si="57"/>
        <v>164500.09999999998</v>
      </c>
      <c r="B1838" s="72">
        <f t="shared" si="56"/>
        <v>50</v>
      </c>
      <c r="C1838" s="70">
        <v>1837</v>
      </c>
      <c r="D1838" s="65">
        <v>50</v>
      </c>
      <c r="F1838" s="85">
        <v>45837</v>
      </c>
      <c r="G1838" s="64" t="s">
        <v>987</v>
      </c>
      <c r="H1838"/>
      <c r="I1838"/>
    </row>
    <row r="1839" spans="1:9" x14ac:dyDescent="0.35">
      <c r="A1839" s="71">
        <f t="shared" si="57"/>
        <v>164480.09999999998</v>
      </c>
      <c r="B1839" s="72">
        <f t="shared" si="56"/>
        <v>-20</v>
      </c>
      <c r="C1839" s="70">
        <v>1838</v>
      </c>
      <c r="E1839" s="66">
        <v>20</v>
      </c>
      <c r="F1839" s="85">
        <v>45837</v>
      </c>
      <c r="G1839" s="64" t="s">
        <v>988</v>
      </c>
      <c r="H1839"/>
      <c r="I1839"/>
    </row>
    <row r="1840" spans="1:9" x14ac:dyDescent="0.35">
      <c r="A1840" s="71">
        <f t="shared" si="57"/>
        <v>164405.09999999998</v>
      </c>
      <c r="B1840" s="72">
        <f t="shared" si="56"/>
        <v>-75</v>
      </c>
      <c r="C1840" s="70">
        <v>1839</v>
      </c>
      <c r="E1840" s="66">
        <v>75</v>
      </c>
      <c r="F1840" s="85">
        <v>45837</v>
      </c>
      <c r="G1840" s="64" t="s">
        <v>497</v>
      </c>
      <c r="H1840"/>
      <c r="I1840"/>
    </row>
    <row r="1841" spans="1:9" x14ac:dyDescent="0.35">
      <c r="A1841" s="71">
        <f t="shared" si="57"/>
        <v>161405.09999999998</v>
      </c>
      <c r="B1841" s="72">
        <f t="shared" si="56"/>
        <v>-3000</v>
      </c>
      <c r="C1841" s="70">
        <v>1840</v>
      </c>
      <c r="E1841" s="66">
        <v>3000</v>
      </c>
      <c r="F1841" s="85">
        <v>45838</v>
      </c>
      <c r="G1841" s="64" t="s">
        <v>989</v>
      </c>
      <c r="H1841"/>
      <c r="I1841"/>
    </row>
    <row r="1842" spans="1:9" x14ac:dyDescent="0.35">
      <c r="A1842" s="71">
        <f t="shared" si="57"/>
        <v>161630.09999999998</v>
      </c>
      <c r="B1842" s="72">
        <f t="shared" si="56"/>
        <v>225</v>
      </c>
      <c r="C1842" s="70">
        <v>1841</v>
      </c>
      <c r="D1842" s="65">
        <v>225</v>
      </c>
      <c r="F1842" s="85">
        <v>45838</v>
      </c>
      <c r="G1842" s="64" t="s">
        <v>357</v>
      </c>
      <c r="H1842"/>
      <c r="I1842"/>
    </row>
    <row r="1843" spans="1:9" x14ac:dyDescent="0.35">
      <c r="A1843" s="71">
        <f t="shared" si="57"/>
        <v>175650.09999999998</v>
      </c>
      <c r="B1843" s="72">
        <f t="shared" si="56"/>
        <v>14020</v>
      </c>
      <c r="C1843" s="70">
        <v>1842</v>
      </c>
      <c r="D1843" s="65">
        <v>14170</v>
      </c>
      <c r="E1843" s="66">
        <v>150</v>
      </c>
      <c r="F1843" s="85">
        <v>45838</v>
      </c>
      <c r="G1843" s="64" t="s">
        <v>631</v>
      </c>
      <c r="H1843"/>
      <c r="I1843"/>
    </row>
    <row r="1844" spans="1:9" x14ac:dyDescent="0.35">
      <c r="A1844" s="71">
        <f t="shared" si="57"/>
        <v>175494.09999999998</v>
      </c>
      <c r="B1844" s="72">
        <f t="shared" si="56"/>
        <v>-156</v>
      </c>
      <c r="C1844" s="70">
        <v>1843</v>
      </c>
      <c r="E1844" s="66">
        <v>156</v>
      </c>
      <c r="F1844" s="85">
        <v>45838</v>
      </c>
      <c r="G1844" s="64" t="s">
        <v>991</v>
      </c>
      <c r="H1844"/>
      <c r="I1844"/>
    </row>
    <row r="1845" spans="1:9" x14ac:dyDescent="0.35">
      <c r="A1845" s="71">
        <f t="shared" si="57"/>
        <v>175444.09999999998</v>
      </c>
      <c r="B1845" s="72">
        <f t="shared" si="56"/>
        <v>-50</v>
      </c>
      <c r="C1845" s="70">
        <v>1844</v>
      </c>
      <c r="E1845" s="66">
        <v>50</v>
      </c>
      <c r="F1845" s="85">
        <v>45838</v>
      </c>
      <c r="G1845" s="64" t="s">
        <v>334</v>
      </c>
      <c r="H1845"/>
      <c r="I1845"/>
    </row>
    <row r="1846" spans="1:9" x14ac:dyDescent="0.35">
      <c r="A1846" s="71">
        <f t="shared" si="57"/>
        <v>175424.09999999998</v>
      </c>
      <c r="B1846" s="72">
        <f t="shared" si="56"/>
        <v>-20</v>
      </c>
      <c r="C1846" s="70">
        <v>1845</v>
      </c>
      <c r="E1846" s="66">
        <v>20</v>
      </c>
      <c r="F1846" s="85">
        <v>45838</v>
      </c>
      <c r="G1846" s="64" t="s">
        <v>243</v>
      </c>
      <c r="H1846"/>
      <c r="I1846"/>
    </row>
    <row r="1847" spans="1:9" x14ac:dyDescent="0.35">
      <c r="A1847" s="71">
        <f t="shared" si="57"/>
        <v>175324.09999999998</v>
      </c>
      <c r="B1847" s="72">
        <f t="shared" si="56"/>
        <v>-100</v>
      </c>
      <c r="C1847" s="70">
        <v>1846</v>
      </c>
      <c r="E1847" s="66">
        <v>100</v>
      </c>
      <c r="F1847" s="85">
        <v>45838</v>
      </c>
      <c r="G1847" s="64" t="s">
        <v>992</v>
      </c>
      <c r="H1847"/>
      <c r="I1847"/>
    </row>
    <row r="1848" spans="1:9" x14ac:dyDescent="0.35">
      <c r="A1848" s="71">
        <f t="shared" si="57"/>
        <v>174324.09999999998</v>
      </c>
      <c r="B1848" s="72">
        <f t="shared" si="56"/>
        <v>-1000</v>
      </c>
      <c r="C1848" s="70">
        <v>1847</v>
      </c>
      <c r="E1848" s="66">
        <v>1000</v>
      </c>
      <c r="F1848" s="85">
        <v>45838</v>
      </c>
      <c r="G1848" s="64" t="s">
        <v>993</v>
      </c>
      <c r="H1848"/>
      <c r="I1848"/>
    </row>
    <row r="1849" spans="1:9" x14ac:dyDescent="0.35">
      <c r="A1849" s="71">
        <f t="shared" si="57"/>
        <v>175899.09999999998</v>
      </c>
      <c r="B1849" s="72">
        <f t="shared" si="56"/>
        <v>1575</v>
      </c>
      <c r="C1849" s="70">
        <v>1848</v>
      </c>
      <c r="D1849" s="65">
        <v>1575</v>
      </c>
      <c r="F1849" s="85">
        <v>45838</v>
      </c>
      <c r="G1849" s="64" t="s">
        <v>833</v>
      </c>
      <c r="H1849"/>
      <c r="I1849"/>
    </row>
    <row r="1850" spans="1:9" x14ac:dyDescent="0.35">
      <c r="A1850" s="71">
        <f t="shared" si="57"/>
        <v>150899.09999999998</v>
      </c>
      <c r="B1850" s="72">
        <f t="shared" si="56"/>
        <v>-25000</v>
      </c>
      <c r="C1850" s="70">
        <v>1849</v>
      </c>
      <c r="E1850" s="66">
        <v>25000</v>
      </c>
      <c r="F1850" s="85">
        <v>45839</v>
      </c>
      <c r="G1850" s="64" t="s">
        <v>146</v>
      </c>
      <c r="H1850"/>
      <c r="I1850"/>
    </row>
    <row r="1851" spans="1:9" x14ac:dyDescent="0.35">
      <c r="A1851" s="71">
        <f t="shared" si="57"/>
        <v>94571.099999999977</v>
      </c>
      <c r="B1851" s="72">
        <f t="shared" si="56"/>
        <v>-56328</v>
      </c>
      <c r="C1851" s="70">
        <v>1850</v>
      </c>
      <c r="E1851" s="66">
        <v>56328</v>
      </c>
      <c r="F1851" s="85">
        <v>45839</v>
      </c>
      <c r="G1851" s="64" t="s">
        <v>21</v>
      </c>
      <c r="H1851"/>
      <c r="I1851"/>
    </row>
    <row r="1852" spans="1:9" x14ac:dyDescent="0.35">
      <c r="A1852" s="71">
        <f t="shared" si="57"/>
        <v>93296.099999999977</v>
      </c>
      <c r="B1852" s="72">
        <f t="shared" si="56"/>
        <v>-1275</v>
      </c>
      <c r="C1852" s="70">
        <v>1851</v>
      </c>
      <c r="E1852" s="66">
        <v>1275</v>
      </c>
      <c r="F1852" s="85">
        <v>45839</v>
      </c>
      <c r="G1852" s="64" t="s">
        <v>995</v>
      </c>
      <c r="H1852"/>
      <c r="I1852"/>
    </row>
    <row r="1853" spans="1:9" x14ac:dyDescent="0.35">
      <c r="A1853" s="71">
        <f t="shared" si="57"/>
        <v>93496.099999999977</v>
      </c>
      <c r="B1853" s="72">
        <f t="shared" si="56"/>
        <v>200</v>
      </c>
      <c r="C1853" s="70">
        <v>1852</v>
      </c>
      <c r="D1853" s="65">
        <v>200</v>
      </c>
      <c r="F1853" s="85">
        <v>45839</v>
      </c>
      <c r="G1853" s="64" t="s">
        <v>996</v>
      </c>
      <c r="H1853"/>
      <c r="I1853"/>
    </row>
    <row r="1854" spans="1:9" x14ac:dyDescent="0.35">
      <c r="A1854" s="71">
        <f t="shared" si="57"/>
        <v>92496.099999999977</v>
      </c>
      <c r="B1854" s="72">
        <f t="shared" si="56"/>
        <v>-1000</v>
      </c>
      <c r="C1854" s="70">
        <v>1853</v>
      </c>
      <c r="E1854" s="66">
        <v>1000</v>
      </c>
      <c r="F1854" s="85">
        <v>45839</v>
      </c>
      <c r="G1854" s="64" t="s">
        <v>87</v>
      </c>
      <c r="H1854"/>
      <c r="I1854"/>
    </row>
    <row r="1855" spans="1:9" x14ac:dyDescent="0.35">
      <c r="A1855" s="71">
        <f t="shared" si="57"/>
        <v>151296.09999999998</v>
      </c>
      <c r="B1855" s="72">
        <f t="shared" si="56"/>
        <v>58800</v>
      </c>
      <c r="C1855" s="70">
        <v>1854</v>
      </c>
      <c r="D1855" s="65">
        <v>58800</v>
      </c>
      <c r="F1855" s="85">
        <v>45839</v>
      </c>
      <c r="G1855" s="64" t="s">
        <v>12</v>
      </c>
      <c r="H1855"/>
      <c r="I1855"/>
    </row>
    <row r="1856" spans="1:9" x14ac:dyDescent="0.35">
      <c r="A1856" s="71">
        <f t="shared" si="57"/>
        <v>151141.09999999998</v>
      </c>
      <c r="B1856" s="72">
        <f t="shared" si="56"/>
        <v>-155</v>
      </c>
      <c r="C1856" s="70">
        <v>1855</v>
      </c>
      <c r="E1856" s="66">
        <v>155</v>
      </c>
      <c r="F1856" s="85">
        <v>45839</v>
      </c>
      <c r="G1856" s="64" t="s">
        <v>997</v>
      </c>
      <c r="H1856"/>
      <c r="I1856"/>
    </row>
    <row r="1857" spans="1:9" x14ac:dyDescent="0.35">
      <c r="A1857" s="71">
        <f t="shared" si="57"/>
        <v>150941.09999999998</v>
      </c>
      <c r="B1857" s="72">
        <f t="shared" si="56"/>
        <v>-200</v>
      </c>
      <c r="C1857" s="70">
        <v>1856</v>
      </c>
      <c r="E1857" s="66">
        <v>200</v>
      </c>
      <c r="F1857" s="85">
        <v>45839</v>
      </c>
      <c r="G1857" s="64" t="s">
        <v>400</v>
      </c>
      <c r="H1857"/>
      <c r="I1857"/>
    </row>
    <row r="1858" spans="1:9" x14ac:dyDescent="0.35">
      <c r="A1858" s="71">
        <f t="shared" si="57"/>
        <v>124341.09999999998</v>
      </c>
      <c r="B1858" s="72">
        <f t="shared" si="56"/>
        <v>-26600</v>
      </c>
      <c r="C1858" s="70">
        <v>1857</v>
      </c>
      <c r="E1858" s="66">
        <v>26600</v>
      </c>
      <c r="F1858" s="85">
        <v>45840</v>
      </c>
      <c r="G1858" s="64" t="s">
        <v>15</v>
      </c>
      <c r="H1858"/>
      <c r="I1858"/>
    </row>
    <row r="1859" spans="1:9" x14ac:dyDescent="0.35">
      <c r="A1859" s="71">
        <f t="shared" si="57"/>
        <v>122241.09999999998</v>
      </c>
      <c r="B1859" s="72">
        <f t="shared" ref="B1859:B1922" si="58">SUM(D1859-E1859)</f>
        <v>-2100</v>
      </c>
      <c r="C1859" s="70">
        <v>1858</v>
      </c>
      <c r="E1859" s="66">
        <v>2100</v>
      </c>
      <c r="F1859" s="85">
        <v>45840</v>
      </c>
      <c r="G1859" s="64" t="s">
        <v>998</v>
      </c>
      <c r="H1859"/>
      <c r="I1859"/>
    </row>
    <row r="1860" spans="1:9" x14ac:dyDescent="0.35">
      <c r="A1860" s="71">
        <f t="shared" ref="A1860:A1923" si="59">SUM(A1859+B1860)</f>
        <v>122241.09999999998</v>
      </c>
      <c r="B1860" s="72">
        <f t="shared" si="58"/>
        <v>0</v>
      </c>
      <c r="C1860" s="70">
        <v>1859</v>
      </c>
      <c r="D1860" s="65">
        <v>1250</v>
      </c>
      <c r="E1860" s="66">
        <v>1250</v>
      </c>
      <c r="F1860" s="85">
        <v>45840</v>
      </c>
      <c r="G1860" s="64" t="s">
        <v>1012</v>
      </c>
      <c r="H1860"/>
      <c r="I1860"/>
    </row>
    <row r="1861" spans="1:9" x14ac:dyDescent="0.35">
      <c r="A1861" s="71">
        <f t="shared" si="59"/>
        <v>148571.09999999998</v>
      </c>
      <c r="B1861" s="72">
        <f t="shared" si="58"/>
        <v>26330</v>
      </c>
      <c r="C1861" s="70">
        <v>1860</v>
      </c>
      <c r="D1861" s="65">
        <v>26415</v>
      </c>
      <c r="E1861" s="66">
        <v>85</v>
      </c>
      <c r="F1861" s="85">
        <v>45840</v>
      </c>
      <c r="G1861" s="64" t="s">
        <v>400</v>
      </c>
      <c r="H1861"/>
      <c r="I1861"/>
    </row>
    <row r="1862" spans="1:9" x14ac:dyDescent="0.35">
      <c r="A1862" s="71">
        <f t="shared" si="59"/>
        <v>148441.09999999998</v>
      </c>
      <c r="B1862" s="72">
        <f t="shared" si="58"/>
        <v>-130</v>
      </c>
      <c r="C1862" s="70">
        <v>1861</v>
      </c>
      <c r="E1862" s="66">
        <v>130</v>
      </c>
      <c r="F1862" s="85">
        <v>45840</v>
      </c>
      <c r="G1862" s="64" t="s">
        <v>999</v>
      </c>
      <c r="H1862"/>
      <c r="I1862"/>
    </row>
    <row r="1863" spans="1:9" x14ac:dyDescent="0.35">
      <c r="A1863" s="71">
        <f t="shared" si="59"/>
        <v>148421.09999999998</v>
      </c>
      <c r="B1863" s="72">
        <f t="shared" si="58"/>
        <v>-20</v>
      </c>
      <c r="C1863" s="70">
        <v>1862</v>
      </c>
      <c r="E1863" s="66">
        <v>20</v>
      </c>
      <c r="F1863" s="85">
        <v>45840</v>
      </c>
      <c r="G1863" s="64" t="s">
        <v>1000</v>
      </c>
      <c r="H1863"/>
      <c r="I1863"/>
    </row>
    <row r="1864" spans="1:9" x14ac:dyDescent="0.35">
      <c r="A1864" s="71">
        <f t="shared" si="59"/>
        <v>148261.09999999998</v>
      </c>
      <c r="B1864" s="72">
        <f t="shared" si="58"/>
        <v>-160</v>
      </c>
      <c r="C1864" s="70">
        <v>1863</v>
      </c>
      <c r="E1864" s="66">
        <v>160</v>
      </c>
      <c r="F1864" s="85">
        <v>45840</v>
      </c>
      <c r="G1864" s="64" t="s">
        <v>1001</v>
      </c>
      <c r="H1864"/>
      <c r="I1864"/>
    </row>
    <row r="1865" spans="1:9" x14ac:dyDescent="0.35">
      <c r="A1865" s="71">
        <f t="shared" si="59"/>
        <v>118261.09999999998</v>
      </c>
      <c r="B1865" s="72">
        <f t="shared" si="58"/>
        <v>-30000</v>
      </c>
      <c r="C1865" s="70">
        <v>1864</v>
      </c>
      <c r="E1865" s="66">
        <v>30000</v>
      </c>
      <c r="F1865" s="85">
        <v>45841</v>
      </c>
      <c r="G1865" s="64" t="s">
        <v>1004</v>
      </c>
      <c r="H1865"/>
      <c r="I1865"/>
    </row>
    <row r="1866" spans="1:9" x14ac:dyDescent="0.35">
      <c r="A1866" s="71">
        <f t="shared" si="59"/>
        <v>121531.09999999998</v>
      </c>
      <c r="B1866" s="72">
        <f t="shared" si="58"/>
        <v>3270</v>
      </c>
      <c r="C1866" s="70">
        <v>1865</v>
      </c>
      <c r="D1866" s="65">
        <v>3525</v>
      </c>
      <c r="E1866" s="66">
        <v>255</v>
      </c>
      <c r="F1866" s="85">
        <v>45841</v>
      </c>
      <c r="G1866" s="64" t="s">
        <v>1005</v>
      </c>
      <c r="H1866"/>
      <c r="I1866"/>
    </row>
    <row r="1867" spans="1:9" x14ac:dyDescent="0.35">
      <c r="A1867" s="71">
        <f t="shared" si="59"/>
        <v>109931.09999999998</v>
      </c>
      <c r="B1867" s="72">
        <f t="shared" si="58"/>
        <v>-11600</v>
      </c>
      <c r="C1867" s="70">
        <v>1866</v>
      </c>
      <c r="E1867" s="66">
        <v>11600</v>
      </c>
      <c r="F1867" s="85">
        <v>45843</v>
      </c>
      <c r="G1867" s="64" t="s">
        <v>1009</v>
      </c>
      <c r="H1867"/>
      <c r="I1867"/>
    </row>
    <row r="1868" spans="1:9" x14ac:dyDescent="0.35">
      <c r="A1868" s="71">
        <f t="shared" si="59"/>
        <v>118596.09999999998</v>
      </c>
      <c r="B1868" s="72">
        <f t="shared" si="58"/>
        <v>8665</v>
      </c>
      <c r="C1868" s="70">
        <v>1867</v>
      </c>
      <c r="D1868" s="65">
        <v>9565</v>
      </c>
      <c r="E1868" s="66">
        <v>900</v>
      </c>
      <c r="F1868" s="85">
        <v>45843</v>
      </c>
      <c r="G1868" s="64" t="s">
        <v>1006</v>
      </c>
      <c r="H1868"/>
      <c r="I1868"/>
    </row>
    <row r="1869" spans="1:9" x14ac:dyDescent="0.35">
      <c r="A1869" s="71">
        <f t="shared" si="59"/>
        <v>117581.09999999998</v>
      </c>
      <c r="B1869" s="72">
        <f t="shared" si="58"/>
        <v>-1015</v>
      </c>
      <c r="C1869" s="70">
        <v>1868</v>
      </c>
      <c r="E1869" s="66">
        <v>1015</v>
      </c>
      <c r="F1869" s="85">
        <v>45843</v>
      </c>
      <c r="G1869" s="64" t="s">
        <v>64</v>
      </c>
      <c r="H1869"/>
      <c r="I1869"/>
    </row>
    <row r="1870" spans="1:9" x14ac:dyDescent="0.35">
      <c r="A1870" s="71">
        <f t="shared" si="59"/>
        <v>117551.09999999998</v>
      </c>
      <c r="B1870" s="72">
        <f t="shared" si="58"/>
        <v>-30</v>
      </c>
      <c r="C1870" s="70">
        <v>1869</v>
      </c>
      <c r="E1870" s="66">
        <v>30</v>
      </c>
      <c r="F1870" s="85">
        <v>45843</v>
      </c>
      <c r="G1870" s="64" t="s">
        <v>1011</v>
      </c>
      <c r="H1870"/>
      <c r="I1870"/>
    </row>
    <row r="1871" spans="1:9" x14ac:dyDescent="0.35">
      <c r="A1871" s="71">
        <f t="shared" si="59"/>
        <v>117451.09999999998</v>
      </c>
      <c r="B1871" s="72">
        <f t="shared" si="58"/>
        <v>-100</v>
      </c>
      <c r="C1871" s="70">
        <v>1870</v>
      </c>
      <c r="D1871" s="65">
        <v>500</v>
      </c>
      <c r="E1871" s="66">
        <v>600</v>
      </c>
      <c r="F1871" s="85">
        <v>45843</v>
      </c>
      <c r="G1871" s="64" t="s">
        <v>1019</v>
      </c>
      <c r="H1871"/>
      <c r="I1871"/>
    </row>
    <row r="1872" spans="1:9" x14ac:dyDescent="0.35">
      <c r="A1872" s="71">
        <f t="shared" si="59"/>
        <v>117366.09999999998</v>
      </c>
      <c r="B1872" s="72">
        <f t="shared" si="58"/>
        <v>-85</v>
      </c>
      <c r="C1872" s="70">
        <v>1871</v>
      </c>
      <c r="E1872" s="66">
        <v>85</v>
      </c>
      <c r="F1872" s="85">
        <v>45843</v>
      </c>
      <c r="G1872" s="64" t="s">
        <v>400</v>
      </c>
      <c r="H1872"/>
      <c r="I1872"/>
    </row>
    <row r="1873" spans="1:9" x14ac:dyDescent="0.35">
      <c r="A1873" s="71">
        <f t="shared" si="59"/>
        <v>117266.09999999998</v>
      </c>
      <c r="B1873" s="72">
        <f t="shared" si="58"/>
        <v>-100</v>
      </c>
      <c r="C1873" s="70">
        <v>1872</v>
      </c>
      <c r="E1873" s="66">
        <v>100</v>
      </c>
      <c r="F1873" s="85">
        <v>45843</v>
      </c>
      <c r="G1873" s="64" t="s">
        <v>437</v>
      </c>
      <c r="H1873"/>
      <c r="I1873"/>
    </row>
    <row r="1874" spans="1:9" x14ac:dyDescent="0.35">
      <c r="A1874" s="71">
        <f t="shared" si="59"/>
        <v>98016.099999999977</v>
      </c>
      <c r="B1874" s="72">
        <f t="shared" si="58"/>
        <v>-19250</v>
      </c>
      <c r="C1874" s="70">
        <v>1873</v>
      </c>
      <c r="E1874" s="66">
        <v>19250</v>
      </c>
      <c r="F1874" s="85">
        <v>45844</v>
      </c>
      <c r="G1874" s="64" t="s">
        <v>17</v>
      </c>
      <c r="H1874"/>
      <c r="I1874"/>
    </row>
    <row r="1875" spans="1:9" x14ac:dyDescent="0.35">
      <c r="A1875" s="71">
        <f t="shared" si="59"/>
        <v>96941.099999999977</v>
      </c>
      <c r="B1875" s="72">
        <f t="shared" si="58"/>
        <v>-1075</v>
      </c>
      <c r="C1875" s="70">
        <v>1874</v>
      </c>
      <c r="E1875" s="66">
        <v>1075</v>
      </c>
      <c r="F1875" s="85">
        <v>45844</v>
      </c>
      <c r="G1875" s="64" t="s">
        <v>1008</v>
      </c>
      <c r="H1875"/>
      <c r="I1875"/>
    </row>
    <row r="1876" spans="1:9" x14ac:dyDescent="0.35">
      <c r="A1876" s="71">
        <f t="shared" si="59"/>
        <v>96441.099999999977</v>
      </c>
      <c r="B1876" s="72">
        <f t="shared" si="58"/>
        <v>-500</v>
      </c>
      <c r="C1876" s="70">
        <v>1875</v>
      </c>
      <c r="E1876" s="66">
        <v>500</v>
      </c>
      <c r="F1876" s="85">
        <v>45844</v>
      </c>
      <c r="G1876" s="64" t="s">
        <v>1007</v>
      </c>
      <c r="H1876"/>
      <c r="I1876"/>
    </row>
    <row r="1877" spans="1:9" x14ac:dyDescent="0.35">
      <c r="A1877" s="71">
        <f t="shared" si="59"/>
        <v>94566.099999999977</v>
      </c>
      <c r="B1877" s="72">
        <f t="shared" si="58"/>
        <v>-1875</v>
      </c>
      <c r="C1877" s="70">
        <v>1876</v>
      </c>
      <c r="E1877" s="66">
        <v>1875</v>
      </c>
      <c r="F1877" s="85">
        <v>45844</v>
      </c>
      <c r="G1877" s="64" t="s">
        <v>1010</v>
      </c>
      <c r="H1877"/>
      <c r="I1877"/>
    </row>
    <row r="1878" spans="1:9" x14ac:dyDescent="0.35">
      <c r="A1878" s="71">
        <f t="shared" si="59"/>
        <v>94366.099999999977</v>
      </c>
      <c r="B1878" s="72">
        <f t="shared" si="58"/>
        <v>-200</v>
      </c>
      <c r="C1878" s="70">
        <v>1877</v>
      </c>
      <c r="E1878" s="66">
        <v>200</v>
      </c>
      <c r="F1878" s="85">
        <v>45844</v>
      </c>
      <c r="G1878" s="64" t="s">
        <v>755</v>
      </c>
      <c r="H1878"/>
      <c r="I1878"/>
    </row>
    <row r="1879" spans="1:9" x14ac:dyDescent="0.35">
      <c r="A1879" s="71">
        <f t="shared" si="59"/>
        <v>136631.09999999998</v>
      </c>
      <c r="B1879" s="72">
        <f t="shared" si="58"/>
        <v>42265</v>
      </c>
      <c r="C1879" s="70">
        <v>1878</v>
      </c>
      <c r="D1879" s="65">
        <v>42465</v>
      </c>
      <c r="E1879" s="66">
        <v>200</v>
      </c>
      <c r="F1879" s="85">
        <v>45844</v>
      </c>
      <c r="G1879" s="64" t="s">
        <v>437</v>
      </c>
      <c r="H1879"/>
      <c r="I1879"/>
    </row>
    <row r="1880" spans="1:9" x14ac:dyDescent="0.35">
      <c r="A1880" s="71">
        <f t="shared" si="59"/>
        <v>136546.09999999998</v>
      </c>
      <c r="B1880" s="72">
        <f t="shared" si="58"/>
        <v>-85</v>
      </c>
      <c r="C1880" s="70">
        <v>1879</v>
      </c>
      <c r="E1880" s="66">
        <v>85</v>
      </c>
      <c r="F1880" s="85">
        <v>45844</v>
      </c>
      <c r="G1880" s="64" t="s">
        <v>400</v>
      </c>
      <c r="H1880"/>
      <c r="I1880"/>
    </row>
    <row r="1881" spans="1:9" x14ac:dyDescent="0.35">
      <c r="A1881" s="71">
        <f t="shared" si="59"/>
        <v>56546.099999999977</v>
      </c>
      <c r="B1881" s="72">
        <f t="shared" si="58"/>
        <v>-80000</v>
      </c>
      <c r="C1881" s="70">
        <v>1880</v>
      </c>
      <c r="E1881" s="66">
        <v>80000</v>
      </c>
      <c r="F1881" s="85">
        <v>45845</v>
      </c>
      <c r="G1881" s="64" t="s">
        <v>1013</v>
      </c>
      <c r="H1881"/>
      <c r="I1881"/>
    </row>
    <row r="1882" spans="1:9" x14ac:dyDescent="0.35">
      <c r="A1882" s="71">
        <f t="shared" si="59"/>
        <v>63616.099999999977</v>
      </c>
      <c r="B1882" s="72">
        <f t="shared" si="58"/>
        <v>7070</v>
      </c>
      <c r="C1882" s="70">
        <v>1881</v>
      </c>
      <c r="D1882" s="65">
        <v>7070</v>
      </c>
      <c r="F1882" s="85">
        <v>45845</v>
      </c>
      <c r="G1882" s="64" t="s">
        <v>12</v>
      </c>
      <c r="H1882"/>
      <c r="I1882"/>
    </row>
    <row r="1883" spans="1:9" x14ac:dyDescent="0.35">
      <c r="A1883" s="71">
        <f t="shared" si="59"/>
        <v>63516.099999999977</v>
      </c>
      <c r="B1883" s="72">
        <f t="shared" si="58"/>
        <v>-100</v>
      </c>
      <c r="C1883" s="70">
        <v>1882</v>
      </c>
      <c r="E1883" s="66">
        <v>100</v>
      </c>
      <c r="F1883" s="85">
        <v>45845</v>
      </c>
      <c r="G1883" s="64" t="s">
        <v>752</v>
      </c>
      <c r="H1883"/>
      <c r="I1883"/>
    </row>
    <row r="1884" spans="1:9" x14ac:dyDescent="0.35">
      <c r="A1884" s="71">
        <f t="shared" si="59"/>
        <v>63496.099999999977</v>
      </c>
      <c r="B1884" s="72">
        <f t="shared" si="58"/>
        <v>-20</v>
      </c>
      <c r="C1884" s="70">
        <v>1883</v>
      </c>
      <c r="E1884" s="66">
        <v>20</v>
      </c>
      <c r="F1884" s="85">
        <v>45845</v>
      </c>
      <c r="G1884" s="64" t="s">
        <v>243</v>
      </c>
      <c r="H1884"/>
      <c r="I1884"/>
    </row>
    <row r="1885" spans="1:9" x14ac:dyDescent="0.35">
      <c r="A1885" s="71">
        <f t="shared" si="59"/>
        <v>54746.099999999977</v>
      </c>
      <c r="B1885" s="72">
        <f t="shared" si="58"/>
        <v>-8750</v>
      </c>
      <c r="C1885" s="70">
        <v>1884</v>
      </c>
      <c r="E1885" s="66">
        <v>8750</v>
      </c>
      <c r="F1885" s="85">
        <v>45846</v>
      </c>
      <c r="G1885" s="64" t="s">
        <v>1014</v>
      </c>
      <c r="H1885"/>
      <c r="I1885"/>
    </row>
    <row r="1886" spans="1:9" x14ac:dyDescent="0.35">
      <c r="A1886" s="71">
        <f t="shared" si="59"/>
        <v>53246.099999999977</v>
      </c>
      <c r="B1886" s="72">
        <f t="shared" si="58"/>
        <v>-1500</v>
      </c>
      <c r="C1886" s="70">
        <v>1885</v>
      </c>
      <c r="E1886" s="66">
        <v>1500</v>
      </c>
      <c r="F1886" s="85">
        <v>45846</v>
      </c>
      <c r="G1886" s="64" t="s">
        <v>1016</v>
      </c>
      <c r="H1886"/>
      <c r="I1886"/>
    </row>
    <row r="1887" spans="1:9" x14ac:dyDescent="0.35">
      <c r="A1887" s="71">
        <f t="shared" si="59"/>
        <v>53086.099999999977</v>
      </c>
      <c r="B1887" s="72">
        <f t="shared" si="58"/>
        <v>-160</v>
      </c>
      <c r="C1887" s="70">
        <v>1886</v>
      </c>
      <c r="E1887" s="66">
        <v>160</v>
      </c>
      <c r="F1887" s="85">
        <v>45846</v>
      </c>
      <c r="G1887" s="64" t="s">
        <v>1026</v>
      </c>
      <c r="H1887"/>
      <c r="I1887"/>
    </row>
    <row r="1888" spans="1:9" x14ac:dyDescent="0.35">
      <c r="A1888" s="71">
        <f t="shared" si="59"/>
        <v>81118.099999999977</v>
      </c>
      <c r="B1888" s="72">
        <f t="shared" si="58"/>
        <v>28032</v>
      </c>
      <c r="C1888" s="70">
        <v>1887</v>
      </c>
      <c r="D1888" s="65">
        <v>60032</v>
      </c>
      <c r="E1888" s="66">
        <v>32000</v>
      </c>
      <c r="F1888" s="85">
        <v>45846</v>
      </c>
      <c r="G1888" s="64" t="s">
        <v>1036</v>
      </c>
      <c r="H1888"/>
      <c r="I1888"/>
    </row>
    <row r="1889" spans="1:9" x14ac:dyDescent="0.35">
      <c r="A1889" s="71">
        <f t="shared" si="59"/>
        <v>81118.099999999977</v>
      </c>
      <c r="B1889" s="72">
        <f t="shared" si="58"/>
        <v>0</v>
      </c>
      <c r="C1889" s="70">
        <v>1888</v>
      </c>
      <c r="D1889" s="65">
        <v>11640</v>
      </c>
      <c r="E1889" s="66">
        <v>11640</v>
      </c>
      <c r="F1889" s="85">
        <v>45846</v>
      </c>
      <c r="G1889" s="64" t="s">
        <v>410</v>
      </c>
      <c r="H1889"/>
      <c r="I1889"/>
    </row>
    <row r="1890" spans="1:9" x14ac:dyDescent="0.35">
      <c r="A1890" s="71">
        <f t="shared" si="59"/>
        <v>81118.099999999977</v>
      </c>
      <c r="B1890" s="72">
        <f t="shared" si="58"/>
        <v>0</v>
      </c>
      <c r="C1890" s="70">
        <v>1889</v>
      </c>
      <c r="D1890" s="65">
        <v>3500</v>
      </c>
      <c r="E1890" s="66">
        <v>3500</v>
      </c>
      <c r="F1890" s="85">
        <v>45846</v>
      </c>
      <c r="G1890" s="64" t="s">
        <v>466</v>
      </c>
      <c r="H1890"/>
      <c r="I1890"/>
    </row>
    <row r="1891" spans="1:9" x14ac:dyDescent="0.35">
      <c r="A1891" s="71">
        <f t="shared" si="59"/>
        <v>81118.099999999977</v>
      </c>
      <c r="B1891" s="72">
        <f t="shared" si="58"/>
        <v>0</v>
      </c>
      <c r="C1891" s="70">
        <v>1890</v>
      </c>
      <c r="D1891" s="65">
        <v>100</v>
      </c>
      <c r="E1891" s="66">
        <v>100</v>
      </c>
      <c r="F1891" s="85">
        <v>45847</v>
      </c>
      <c r="G1891" s="64" t="s">
        <v>332</v>
      </c>
      <c r="H1891"/>
      <c r="I1891"/>
    </row>
    <row r="1892" spans="1:9" x14ac:dyDescent="0.35">
      <c r="A1892" s="71">
        <f t="shared" si="59"/>
        <v>104578.09999999998</v>
      </c>
      <c r="B1892" s="72">
        <f t="shared" si="58"/>
        <v>23460</v>
      </c>
      <c r="C1892" s="70">
        <v>1891</v>
      </c>
      <c r="D1892" s="65">
        <v>23460</v>
      </c>
      <c r="F1892" s="85">
        <v>45847</v>
      </c>
      <c r="G1892" s="64" t="s">
        <v>12</v>
      </c>
      <c r="H1892"/>
      <c r="I1892"/>
    </row>
    <row r="1893" spans="1:9" x14ac:dyDescent="0.35">
      <c r="A1893" s="71">
        <f t="shared" si="59"/>
        <v>103728.09999999998</v>
      </c>
      <c r="B1893" s="72">
        <f t="shared" si="58"/>
        <v>-850</v>
      </c>
      <c r="C1893" s="70">
        <v>1892</v>
      </c>
      <c r="E1893" s="66">
        <v>850</v>
      </c>
      <c r="F1893" s="85">
        <v>45847</v>
      </c>
      <c r="G1893" s="64" t="s">
        <v>755</v>
      </c>
      <c r="H1893"/>
      <c r="I1893"/>
    </row>
    <row r="1894" spans="1:9" x14ac:dyDescent="0.35">
      <c r="A1894" s="71">
        <f t="shared" si="59"/>
        <v>102728.09999999998</v>
      </c>
      <c r="B1894" s="72">
        <f t="shared" si="58"/>
        <v>-1000</v>
      </c>
      <c r="C1894" s="70">
        <v>1893</v>
      </c>
      <c r="E1894" s="66">
        <v>1000</v>
      </c>
      <c r="F1894" s="85">
        <v>45847</v>
      </c>
      <c r="G1894" s="64" t="s">
        <v>1018</v>
      </c>
      <c r="H1894"/>
      <c r="I1894"/>
    </row>
    <row r="1895" spans="1:9" x14ac:dyDescent="0.35">
      <c r="A1895" s="71">
        <f t="shared" si="59"/>
        <v>101878.09999999998</v>
      </c>
      <c r="B1895" s="72">
        <f t="shared" si="58"/>
        <v>-850</v>
      </c>
      <c r="C1895" s="70">
        <v>1894</v>
      </c>
      <c r="E1895" s="66">
        <v>850</v>
      </c>
      <c r="F1895" s="85">
        <v>45847</v>
      </c>
      <c r="G1895" s="64" t="s">
        <v>1017</v>
      </c>
      <c r="H1895"/>
      <c r="I1895"/>
    </row>
    <row r="1896" spans="1:9" x14ac:dyDescent="0.35">
      <c r="A1896" s="71">
        <f t="shared" si="59"/>
        <v>87478.099999999977</v>
      </c>
      <c r="B1896" s="72">
        <f t="shared" si="58"/>
        <v>-14400</v>
      </c>
      <c r="C1896" s="70">
        <v>1895</v>
      </c>
      <c r="E1896" s="66">
        <v>14400</v>
      </c>
      <c r="F1896" s="85">
        <v>45848</v>
      </c>
      <c r="G1896" s="64" t="s">
        <v>279</v>
      </c>
      <c r="H1896"/>
      <c r="I1896"/>
    </row>
    <row r="1897" spans="1:9" x14ac:dyDescent="0.35">
      <c r="A1897" s="71">
        <f t="shared" si="59"/>
        <v>48950.099999999977</v>
      </c>
      <c r="B1897" s="72">
        <f t="shared" si="58"/>
        <v>-38528</v>
      </c>
      <c r="C1897" s="70">
        <v>1896</v>
      </c>
      <c r="E1897" s="66">
        <v>38528</v>
      </c>
      <c r="F1897" s="85">
        <v>45848</v>
      </c>
      <c r="G1897" s="64" t="s">
        <v>18</v>
      </c>
      <c r="H1897"/>
      <c r="I1897"/>
    </row>
    <row r="1898" spans="1:9" x14ac:dyDescent="0.35">
      <c r="A1898" s="71">
        <f t="shared" si="59"/>
        <v>50485.099999999977</v>
      </c>
      <c r="B1898" s="72">
        <f t="shared" si="58"/>
        <v>1535</v>
      </c>
      <c r="C1898" s="70">
        <v>1897</v>
      </c>
      <c r="D1898" s="65">
        <v>1810</v>
      </c>
      <c r="E1898" s="66">
        <v>275</v>
      </c>
      <c r="F1898" s="85">
        <v>45848</v>
      </c>
      <c r="G1898" s="64" t="s">
        <v>755</v>
      </c>
      <c r="H1898"/>
      <c r="I1898"/>
    </row>
    <row r="1899" spans="1:9" x14ac:dyDescent="0.35">
      <c r="A1899" s="71">
        <f t="shared" si="59"/>
        <v>50135.099999999977</v>
      </c>
      <c r="B1899" s="72">
        <f t="shared" si="58"/>
        <v>-350</v>
      </c>
      <c r="C1899" s="70">
        <v>1898</v>
      </c>
      <c r="E1899" s="66">
        <v>350</v>
      </c>
      <c r="F1899" s="85">
        <v>45848</v>
      </c>
      <c r="G1899" s="64" t="s">
        <v>849</v>
      </c>
      <c r="H1899"/>
      <c r="I1899"/>
    </row>
    <row r="1900" spans="1:9" x14ac:dyDescent="0.35">
      <c r="A1900" s="71">
        <f t="shared" si="59"/>
        <v>59345.099999999977</v>
      </c>
      <c r="B1900" s="72">
        <f t="shared" si="58"/>
        <v>9210</v>
      </c>
      <c r="C1900" s="70">
        <v>1899</v>
      </c>
      <c r="D1900" s="65">
        <v>9800</v>
      </c>
      <c r="E1900" s="66">
        <v>590</v>
      </c>
      <c r="F1900" s="85">
        <v>45850</v>
      </c>
      <c r="G1900" s="64" t="s">
        <v>1021</v>
      </c>
      <c r="H1900"/>
      <c r="I1900"/>
    </row>
    <row r="1901" spans="1:9" x14ac:dyDescent="0.35">
      <c r="A1901" s="71">
        <f t="shared" si="59"/>
        <v>57953.099999999977</v>
      </c>
      <c r="B1901" s="72">
        <f t="shared" si="58"/>
        <v>-1392</v>
      </c>
      <c r="C1901" s="70">
        <v>1900</v>
      </c>
      <c r="E1901" s="66">
        <v>1392</v>
      </c>
      <c r="F1901" s="85">
        <v>45850</v>
      </c>
      <c r="G1901" s="64" t="s">
        <v>1022</v>
      </c>
      <c r="H1901"/>
      <c r="I1901"/>
    </row>
    <row r="1902" spans="1:9" x14ac:dyDescent="0.35">
      <c r="A1902" s="71">
        <f t="shared" si="59"/>
        <v>55943.099999999977</v>
      </c>
      <c r="B1902" s="72">
        <f t="shared" si="58"/>
        <v>-2010</v>
      </c>
      <c r="C1902" s="70">
        <v>1901</v>
      </c>
      <c r="E1902" s="66">
        <v>2010</v>
      </c>
      <c r="F1902" s="85">
        <v>45851</v>
      </c>
      <c r="G1902" s="64" t="s">
        <v>64</v>
      </c>
      <c r="H1902"/>
      <c r="I1902"/>
    </row>
    <row r="1903" spans="1:9" x14ac:dyDescent="0.35">
      <c r="A1903" s="71">
        <f t="shared" si="59"/>
        <v>55943.099999999977</v>
      </c>
      <c r="B1903" s="72">
        <f t="shared" si="58"/>
        <v>0</v>
      </c>
      <c r="C1903" s="70">
        <v>1902</v>
      </c>
      <c r="D1903" s="65">
        <v>30</v>
      </c>
      <c r="E1903" s="66">
        <v>30</v>
      </c>
      <c r="F1903" s="85">
        <v>45850</v>
      </c>
      <c r="G1903" s="64" t="s">
        <v>957</v>
      </c>
      <c r="H1903"/>
      <c r="I1903"/>
    </row>
    <row r="1904" spans="1:9" x14ac:dyDescent="0.35">
      <c r="A1904" s="71">
        <f t="shared" si="59"/>
        <v>87553.099999999977</v>
      </c>
      <c r="B1904" s="72">
        <f t="shared" si="58"/>
        <v>31610</v>
      </c>
      <c r="C1904" s="70">
        <v>1903</v>
      </c>
      <c r="D1904" s="65">
        <v>31610</v>
      </c>
      <c r="F1904" s="85">
        <v>45851</v>
      </c>
      <c r="H1904"/>
      <c r="I1904"/>
    </row>
    <row r="1905" spans="1:9" x14ac:dyDescent="0.35">
      <c r="A1905" s="71">
        <f t="shared" si="59"/>
        <v>87453.099999999977</v>
      </c>
      <c r="B1905" s="72">
        <f t="shared" si="58"/>
        <v>-100</v>
      </c>
      <c r="C1905" s="70">
        <v>1904</v>
      </c>
      <c r="E1905" s="66">
        <v>100</v>
      </c>
      <c r="F1905" s="85">
        <v>45851</v>
      </c>
      <c r="G1905" s="64" t="s">
        <v>805</v>
      </c>
      <c r="H1905"/>
      <c r="I1905"/>
    </row>
    <row r="1906" spans="1:9" x14ac:dyDescent="0.35">
      <c r="A1906" s="71">
        <f t="shared" si="59"/>
        <v>87283.099999999977</v>
      </c>
      <c r="B1906" s="72">
        <f t="shared" si="58"/>
        <v>-170</v>
      </c>
      <c r="C1906" s="70">
        <v>1905</v>
      </c>
      <c r="E1906" s="66">
        <v>170</v>
      </c>
      <c r="F1906" s="85">
        <v>45850</v>
      </c>
      <c r="G1906" s="64" t="s">
        <v>250</v>
      </c>
      <c r="H1906"/>
      <c r="I1906"/>
    </row>
    <row r="1907" spans="1:9" x14ac:dyDescent="0.35">
      <c r="A1907" s="71">
        <f t="shared" si="59"/>
        <v>87008.099999999977</v>
      </c>
      <c r="B1907" s="72">
        <f t="shared" si="58"/>
        <v>-275</v>
      </c>
      <c r="C1907" s="70">
        <v>1906</v>
      </c>
      <c r="E1907" s="66">
        <v>275</v>
      </c>
      <c r="F1907" s="85">
        <v>45850</v>
      </c>
      <c r="G1907" s="64" t="s">
        <v>50</v>
      </c>
      <c r="H1907"/>
      <c r="I1907"/>
    </row>
    <row r="1908" spans="1:9" x14ac:dyDescent="0.35">
      <c r="A1908" s="71">
        <f t="shared" si="59"/>
        <v>86958.099999999977</v>
      </c>
      <c r="B1908" s="72">
        <f t="shared" si="58"/>
        <v>-50</v>
      </c>
      <c r="C1908" s="70">
        <v>1907</v>
      </c>
      <c r="E1908" s="66">
        <v>50</v>
      </c>
      <c r="F1908" s="85">
        <v>45850</v>
      </c>
      <c r="G1908" s="64" t="s">
        <v>1032</v>
      </c>
      <c r="H1908"/>
      <c r="I1908"/>
    </row>
    <row r="1909" spans="1:9" x14ac:dyDescent="0.35">
      <c r="A1909" s="71">
        <f t="shared" si="59"/>
        <v>86938.099999999977</v>
      </c>
      <c r="B1909" s="72">
        <f t="shared" si="58"/>
        <v>-20</v>
      </c>
      <c r="C1909" s="70">
        <v>1908</v>
      </c>
      <c r="E1909" s="66">
        <v>20</v>
      </c>
      <c r="F1909" s="85">
        <v>45851</v>
      </c>
      <c r="G1909" s="64" t="s">
        <v>243</v>
      </c>
      <c r="H1909"/>
      <c r="I1909"/>
    </row>
    <row r="1910" spans="1:9" x14ac:dyDescent="0.35">
      <c r="A1910" s="71">
        <f t="shared" si="59"/>
        <v>99398.099999999977</v>
      </c>
      <c r="B1910" s="72">
        <f t="shared" si="58"/>
        <v>12460</v>
      </c>
      <c r="C1910" s="70">
        <v>1909</v>
      </c>
      <c r="D1910" s="65">
        <v>12500</v>
      </c>
      <c r="E1910" s="66">
        <v>40</v>
      </c>
      <c r="F1910" s="85">
        <v>45852</v>
      </c>
      <c r="G1910" s="64" t="s">
        <v>1031</v>
      </c>
      <c r="H1910"/>
      <c r="I1910"/>
    </row>
    <row r="1911" spans="1:9" x14ac:dyDescent="0.35">
      <c r="A1911" s="71">
        <f t="shared" si="59"/>
        <v>98998.099999999977</v>
      </c>
      <c r="B1911" s="72">
        <f t="shared" si="58"/>
        <v>-400</v>
      </c>
      <c r="C1911" s="70">
        <v>1910</v>
      </c>
      <c r="E1911" s="66">
        <v>400</v>
      </c>
      <c r="F1911" s="85">
        <v>45852</v>
      </c>
      <c r="G1911" s="64" t="s">
        <v>75</v>
      </c>
      <c r="H1911"/>
      <c r="I1911"/>
    </row>
    <row r="1912" spans="1:9" x14ac:dyDescent="0.35">
      <c r="A1912" s="71">
        <f t="shared" si="59"/>
        <v>98598.099999999977</v>
      </c>
      <c r="B1912" s="72">
        <f t="shared" si="58"/>
        <v>-400</v>
      </c>
      <c r="C1912" s="70">
        <v>1911</v>
      </c>
      <c r="E1912" s="66">
        <v>400</v>
      </c>
      <c r="F1912" s="85">
        <v>45852</v>
      </c>
      <c r="G1912" s="64" t="s">
        <v>1023</v>
      </c>
      <c r="H1912"/>
      <c r="I1912"/>
    </row>
    <row r="1913" spans="1:9" x14ac:dyDescent="0.35">
      <c r="A1913" s="71">
        <f t="shared" si="59"/>
        <v>98398.099999999977</v>
      </c>
      <c r="B1913" s="72">
        <f t="shared" si="58"/>
        <v>-200</v>
      </c>
      <c r="C1913" s="70">
        <v>1912</v>
      </c>
      <c r="E1913" s="66">
        <v>200</v>
      </c>
      <c r="F1913" s="85">
        <v>45852</v>
      </c>
      <c r="G1913" s="64" t="s">
        <v>1024</v>
      </c>
      <c r="H1913"/>
      <c r="I1913"/>
    </row>
    <row r="1914" spans="1:9" x14ac:dyDescent="0.35">
      <c r="A1914" s="71">
        <f t="shared" si="59"/>
        <v>98098.099999999977</v>
      </c>
      <c r="B1914" s="72">
        <f t="shared" si="58"/>
        <v>-300</v>
      </c>
      <c r="C1914" s="70">
        <v>1913</v>
      </c>
      <c r="E1914" s="66">
        <v>300</v>
      </c>
      <c r="F1914" s="85">
        <v>45852</v>
      </c>
      <c r="G1914" s="64" t="s">
        <v>437</v>
      </c>
      <c r="H1914"/>
      <c r="I1914"/>
    </row>
    <row r="1915" spans="1:9" x14ac:dyDescent="0.35">
      <c r="A1915" s="71">
        <f t="shared" si="59"/>
        <v>97943.099999999977</v>
      </c>
      <c r="B1915" s="72">
        <f t="shared" si="58"/>
        <v>-155</v>
      </c>
      <c r="C1915" s="70">
        <v>1914</v>
      </c>
      <c r="E1915" s="66">
        <v>155</v>
      </c>
      <c r="F1915" s="85">
        <v>45852</v>
      </c>
      <c r="G1915" s="64" t="s">
        <v>1030</v>
      </c>
      <c r="H1915"/>
      <c r="I1915"/>
    </row>
    <row r="1916" spans="1:9" x14ac:dyDescent="0.35">
      <c r="A1916" s="71">
        <f t="shared" si="59"/>
        <v>97843.099999999977</v>
      </c>
      <c r="B1916" s="72">
        <f t="shared" si="58"/>
        <v>-100</v>
      </c>
      <c r="C1916" s="70">
        <v>1915</v>
      </c>
      <c r="E1916" s="66">
        <v>100</v>
      </c>
      <c r="F1916" s="85">
        <v>45852</v>
      </c>
      <c r="G1916" s="64" t="s">
        <v>1029</v>
      </c>
      <c r="H1916"/>
      <c r="I1916"/>
    </row>
    <row r="1917" spans="1:9" x14ac:dyDescent="0.35">
      <c r="A1917" s="71">
        <f t="shared" si="59"/>
        <v>92343.099999999977</v>
      </c>
      <c r="B1917" s="72">
        <f t="shared" si="58"/>
        <v>-5500</v>
      </c>
      <c r="C1917" s="70">
        <v>1916</v>
      </c>
      <c r="E1917" s="66">
        <v>5500</v>
      </c>
      <c r="F1917" s="85">
        <v>45852</v>
      </c>
      <c r="G1917" s="64" t="s">
        <v>1025</v>
      </c>
      <c r="H1917"/>
      <c r="I1917"/>
    </row>
    <row r="1918" spans="1:9" x14ac:dyDescent="0.35">
      <c r="A1918" s="71">
        <f t="shared" si="59"/>
        <v>154283.09999999998</v>
      </c>
      <c r="B1918" s="72">
        <f t="shared" si="58"/>
        <v>61940</v>
      </c>
      <c r="C1918" s="70">
        <v>1917</v>
      </c>
      <c r="D1918" s="65">
        <v>66140</v>
      </c>
      <c r="E1918" s="66">
        <v>4200</v>
      </c>
      <c r="F1918" s="85">
        <v>45853</v>
      </c>
      <c r="G1918" s="64" t="s">
        <v>1027</v>
      </c>
      <c r="H1918"/>
      <c r="I1918"/>
    </row>
    <row r="1919" spans="1:9" x14ac:dyDescent="0.35">
      <c r="A1919" s="71">
        <f t="shared" si="59"/>
        <v>146333.09999999998</v>
      </c>
      <c r="B1919" s="72">
        <f t="shared" si="58"/>
        <v>-7950</v>
      </c>
      <c r="C1919" s="70">
        <v>1918</v>
      </c>
      <c r="E1919" s="66">
        <v>7950</v>
      </c>
      <c r="F1919" s="85">
        <v>45853</v>
      </c>
      <c r="G1919" s="64" t="s">
        <v>1037</v>
      </c>
      <c r="H1919"/>
      <c r="I1919"/>
    </row>
    <row r="1920" spans="1:9" x14ac:dyDescent="0.35">
      <c r="A1920" s="71">
        <f t="shared" si="59"/>
        <v>141963.09999999998</v>
      </c>
      <c r="B1920" s="72">
        <f t="shared" si="58"/>
        <v>-4370</v>
      </c>
      <c r="C1920" s="70">
        <v>1919</v>
      </c>
      <c r="E1920" s="66">
        <v>4370</v>
      </c>
      <c r="F1920" s="85">
        <v>45853</v>
      </c>
      <c r="G1920" s="64" t="s">
        <v>1028</v>
      </c>
      <c r="H1920"/>
      <c r="I1920"/>
    </row>
    <row r="1921" spans="1:9" x14ac:dyDescent="0.35">
      <c r="A1921" s="71">
        <f t="shared" si="59"/>
        <v>141313.09999999998</v>
      </c>
      <c r="B1921" s="72">
        <f t="shared" si="58"/>
        <v>-650</v>
      </c>
      <c r="C1921" s="70">
        <v>1920</v>
      </c>
      <c r="E1921" s="66">
        <v>650</v>
      </c>
      <c r="F1921" s="85">
        <v>45853</v>
      </c>
      <c r="G1921" s="64" t="s">
        <v>822</v>
      </c>
      <c r="H1921"/>
      <c r="I1921"/>
    </row>
    <row r="1922" spans="1:9" x14ac:dyDescent="0.35">
      <c r="A1922" s="71">
        <f t="shared" si="59"/>
        <v>173083.09999999998</v>
      </c>
      <c r="B1922" s="72">
        <f t="shared" si="58"/>
        <v>31770</v>
      </c>
      <c r="C1922" s="70">
        <v>1921</v>
      </c>
      <c r="D1922" s="65">
        <v>31770</v>
      </c>
      <c r="F1922" s="85">
        <v>45854</v>
      </c>
      <c r="G1922" s="64" t="s">
        <v>410</v>
      </c>
      <c r="H1922"/>
      <c r="I1922"/>
    </row>
    <row r="1923" spans="1:9" x14ac:dyDescent="0.35">
      <c r="A1923" s="71">
        <f t="shared" si="59"/>
        <v>155333.09999999998</v>
      </c>
      <c r="B1923" s="72">
        <f t="shared" ref="B1923:B1986" si="60">SUM(D1923-E1923)</f>
        <v>-17750</v>
      </c>
      <c r="C1923" s="70">
        <v>1922</v>
      </c>
      <c r="E1923" s="66">
        <v>17750</v>
      </c>
      <c r="F1923" s="85">
        <v>45854</v>
      </c>
      <c r="G1923" s="64" t="s">
        <v>1033</v>
      </c>
      <c r="H1923"/>
      <c r="I1923"/>
    </row>
    <row r="1924" spans="1:9" x14ac:dyDescent="0.35">
      <c r="A1924" s="71">
        <f t="shared" ref="A1924:A1987" si="61">SUM(A1923+B1924)</f>
        <v>155138.09999999998</v>
      </c>
      <c r="B1924" s="72">
        <f t="shared" si="60"/>
        <v>-195</v>
      </c>
      <c r="C1924" s="70">
        <v>1923</v>
      </c>
      <c r="E1924" s="66">
        <v>195</v>
      </c>
      <c r="F1924" s="85">
        <v>45854</v>
      </c>
      <c r="G1924" s="64" t="s">
        <v>1034</v>
      </c>
      <c r="H1924"/>
      <c r="I1924"/>
    </row>
    <row r="1925" spans="1:9" x14ac:dyDescent="0.35">
      <c r="A1925" s="71">
        <f t="shared" si="61"/>
        <v>154618.09999999998</v>
      </c>
      <c r="B1925" s="72">
        <f t="shared" si="60"/>
        <v>-520</v>
      </c>
      <c r="C1925" s="70">
        <v>1924</v>
      </c>
      <c r="E1925" s="66">
        <v>520</v>
      </c>
      <c r="F1925" s="85">
        <v>45854</v>
      </c>
      <c r="G1925" s="64" t="s">
        <v>800</v>
      </c>
      <c r="H1925"/>
      <c r="I1925"/>
    </row>
    <row r="1926" spans="1:9" x14ac:dyDescent="0.35">
      <c r="A1926" s="71">
        <f t="shared" si="61"/>
        <v>54618.099999999977</v>
      </c>
      <c r="B1926" s="72">
        <f t="shared" si="60"/>
        <v>-100000</v>
      </c>
      <c r="C1926" s="70">
        <v>1925</v>
      </c>
      <c r="E1926" s="66">
        <v>100000</v>
      </c>
      <c r="F1926" s="85">
        <v>45854</v>
      </c>
      <c r="G1926" s="64" t="s">
        <v>1035</v>
      </c>
      <c r="H1926"/>
      <c r="I1926"/>
    </row>
    <row r="1927" spans="1:9" x14ac:dyDescent="0.35">
      <c r="A1927" s="71">
        <f t="shared" si="61"/>
        <v>54618.099999999977</v>
      </c>
      <c r="B1927" s="72">
        <f t="shared" si="60"/>
        <v>0</v>
      </c>
      <c r="C1927" s="70">
        <v>1926</v>
      </c>
      <c r="D1927" s="65">
        <v>20000</v>
      </c>
      <c r="E1927" s="66">
        <v>20000</v>
      </c>
      <c r="F1927" s="85">
        <v>45854</v>
      </c>
      <c r="G1927" s="64" t="s">
        <v>1042</v>
      </c>
      <c r="H1927"/>
      <c r="I1927"/>
    </row>
    <row r="1928" spans="1:9" x14ac:dyDescent="0.35">
      <c r="A1928" s="71">
        <f t="shared" si="61"/>
        <v>54518.099999999977</v>
      </c>
      <c r="B1928" s="72">
        <f t="shared" si="60"/>
        <v>-100</v>
      </c>
      <c r="C1928" s="70">
        <v>1927</v>
      </c>
      <c r="E1928" s="66">
        <v>100</v>
      </c>
      <c r="F1928" s="85">
        <v>45854</v>
      </c>
      <c r="G1928" s="64" t="s">
        <v>400</v>
      </c>
      <c r="H1928"/>
      <c r="I1928"/>
    </row>
    <row r="1929" spans="1:9" x14ac:dyDescent="0.35">
      <c r="A1929" s="71">
        <f t="shared" si="61"/>
        <v>54268.099999999977</v>
      </c>
      <c r="B1929" s="72">
        <f t="shared" si="60"/>
        <v>-250</v>
      </c>
      <c r="C1929" s="70">
        <v>1928</v>
      </c>
      <c r="E1929" s="66">
        <v>250</v>
      </c>
      <c r="F1929" s="85">
        <v>45854</v>
      </c>
      <c r="G1929" s="64" t="s">
        <v>120</v>
      </c>
      <c r="H1929"/>
      <c r="I1929"/>
    </row>
    <row r="1930" spans="1:9" x14ac:dyDescent="0.35">
      <c r="A1930" s="71">
        <f t="shared" si="61"/>
        <v>53718.099999999977</v>
      </c>
      <c r="B1930" s="72">
        <f t="shared" si="60"/>
        <v>-550</v>
      </c>
      <c r="C1930" s="70">
        <v>1929</v>
      </c>
      <c r="E1930" s="66">
        <v>550</v>
      </c>
      <c r="F1930" s="85">
        <v>45854</v>
      </c>
      <c r="G1930" s="64" t="s">
        <v>1038</v>
      </c>
      <c r="H1930"/>
      <c r="I1930"/>
    </row>
    <row r="1931" spans="1:9" x14ac:dyDescent="0.35">
      <c r="A1931" s="71">
        <f t="shared" si="61"/>
        <v>55478.099999999977</v>
      </c>
      <c r="B1931" s="72">
        <f t="shared" si="60"/>
        <v>1760</v>
      </c>
      <c r="C1931" s="70">
        <v>1930</v>
      </c>
      <c r="D1931" s="65">
        <v>1830</v>
      </c>
      <c r="E1931" s="66">
        <v>70</v>
      </c>
      <c r="F1931" s="85">
        <v>45854</v>
      </c>
      <c r="G1931" s="64" t="s">
        <v>1039</v>
      </c>
      <c r="H1931"/>
      <c r="I1931"/>
    </row>
    <row r="1932" spans="1:9" x14ac:dyDescent="0.35">
      <c r="A1932" s="71">
        <f t="shared" si="61"/>
        <v>55478.099999999977</v>
      </c>
      <c r="B1932" s="72">
        <f t="shared" si="60"/>
        <v>0</v>
      </c>
      <c r="C1932" s="70">
        <v>1931</v>
      </c>
      <c r="D1932" s="65">
        <v>650</v>
      </c>
      <c r="E1932" s="66">
        <v>650</v>
      </c>
      <c r="F1932" s="85">
        <v>45857</v>
      </c>
      <c r="G1932" s="64" t="s">
        <v>1041</v>
      </c>
      <c r="H1932"/>
      <c r="I1932"/>
    </row>
    <row r="1933" spans="1:9" x14ac:dyDescent="0.35">
      <c r="A1933" s="71">
        <f t="shared" si="61"/>
        <v>64408.099999999977</v>
      </c>
      <c r="B1933" s="72">
        <f t="shared" si="60"/>
        <v>8930</v>
      </c>
      <c r="C1933" s="70">
        <v>1932</v>
      </c>
      <c r="D1933" s="65">
        <v>9290</v>
      </c>
      <c r="E1933" s="66">
        <v>360</v>
      </c>
      <c r="F1933" s="85">
        <v>45857</v>
      </c>
      <c r="G1933" s="64" t="s">
        <v>1040</v>
      </c>
      <c r="H1933"/>
      <c r="I1933"/>
    </row>
    <row r="1934" spans="1:9" x14ac:dyDescent="0.35">
      <c r="A1934" s="71">
        <f t="shared" si="61"/>
        <v>128668.09999999998</v>
      </c>
      <c r="B1934" s="72">
        <f t="shared" si="60"/>
        <v>64260</v>
      </c>
      <c r="C1934" s="70">
        <v>1933</v>
      </c>
      <c r="D1934" s="65">
        <v>64710</v>
      </c>
      <c r="E1934" s="66">
        <v>450</v>
      </c>
      <c r="F1934" s="85">
        <v>45858</v>
      </c>
      <c r="G1934" s="64" t="s">
        <v>1043</v>
      </c>
      <c r="H1934"/>
      <c r="I1934"/>
    </row>
    <row r="1935" spans="1:9" x14ac:dyDescent="0.35">
      <c r="A1935" s="71">
        <f t="shared" si="61"/>
        <v>126668.09999999998</v>
      </c>
      <c r="B1935" s="72">
        <f t="shared" si="60"/>
        <v>-2000</v>
      </c>
      <c r="C1935" s="70">
        <v>1934</v>
      </c>
      <c r="E1935" s="66">
        <v>2000</v>
      </c>
      <c r="F1935" s="85">
        <v>45858</v>
      </c>
      <c r="G1935" s="64" t="s">
        <v>802</v>
      </c>
      <c r="H1935"/>
      <c r="I1935"/>
    </row>
    <row r="1936" spans="1:9" x14ac:dyDescent="0.35">
      <c r="A1936" s="71">
        <f t="shared" si="61"/>
        <v>126568.09999999998</v>
      </c>
      <c r="B1936" s="72">
        <f t="shared" si="60"/>
        <v>-100</v>
      </c>
      <c r="C1936" s="70">
        <v>1935</v>
      </c>
      <c r="E1936" s="66">
        <v>100</v>
      </c>
      <c r="F1936" s="85">
        <v>45858</v>
      </c>
      <c r="G1936" s="64" t="s">
        <v>755</v>
      </c>
      <c r="H1936"/>
      <c r="I1936"/>
    </row>
    <row r="1937" spans="1:9" x14ac:dyDescent="0.35">
      <c r="A1937" s="71">
        <f t="shared" si="61"/>
        <v>137533.09999999998</v>
      </c>
      <c r="B1937" s="72">
        <f t="shared" si="60"/>
        <v>10965</v>
      </c>
      <c r="C1937" s="70">
        <v>1936</v>
      </c>
      <c r="D1937" s="65">
        <v>11120</v>
      </c>
      <c r="E1937" s="66">
        <v>155</v>
      </c>
      <c r="F1937" s="85">
        <v>45859</v>
      </c>
      <c r="G1937" s="64" t="s">
        <v>961</v>
      </c>
      <c r="H1937"/>
      <c r="I1937"/>
    </row>
    <row r="1938" spans="1:9" x14ac:dyDescent="0.35">
      <c r="A1938" s="71">
        <f t="shared" si="61"/>
        <v>133533.09999999998</v>
      </c>
      <c r="B1938" s="72">
        <f t="shared" si="60"/>
        <v>-4000</v>
      </c>
      <c r="C1938" s="70">
        <v>1937</v>
      </c>
      <c r="E1938" s="66">
        <v>4000</v>
      </c>
      <c r="F1938" s="85">
        <v>45859</v>
      </c>
      <c r="G1938" s="64" t="s">
        <v>174</v>
      </c>
      <c r="H1938"/>
      <c r="I1938"/>
    </row>
    <row r="1939" spans="1:9" x14ac:dyDescent="0.35">
      <c r="A1939" s="71">
        <f t="shared" si="61"/>
        <v>103533.09999999998</v>
      </c>
      <c r="B1939" s="72">
        <f t="shared" si="60"/>
        <v>-30000</v>
      </c>
      <c r="C1939" s="70">
        <v>1938</v>
      </c>
      <c r="E1939" s="66">
        <v>30000</v>
      </c>
      <c r="F1939" s="85">
        <v>45859</v>
      </c>
      <c r="G1939" s="64" t="s">
        <v>13</v>
      </c>
      <c r="H1939"/>
      <c r="I1939"/>
    </row>
    <row r="1940" spans="1:9" x14ac:dyDescent="0.35">
      <c r="A1940" s="71">
        <f t="shared" si="61"/>
        <v>103433.09999999998</v>
      </c>
      <c r="B1940" s="72">
        <f t="shared" si="60"/>
        <v>-100</v>
      </c>
      <c r="C1940" s="70">
        <v>1939</v>
      </c>
      <c r="E1940" s="66">
        <v>100</v>
      </c>
      <c r="F1940" s="85">
        <v>45859</v>
      </c>
      <c r="G1940" s="64" t="s">
        <v>752</v>
      </c>
      <c r="H1940"/>
      <c r="I1940"/>
    </row>
    <row r="1941" spans="1:9" x14ac:dyDescent="0.35">
      <c r="A1941" s="71">
        <f t="shared" si="61"/>
        <v>101553.09999999998</v>
      </c>
      <c r="B1941" s="72">
        <f t="shared" si="60"/>
        <v>-1880</v>
      </c>
      <c r="C1941" s="70">
        <v>1940</v>
      </c>
      <c r="E1941" s="66">
        <v>1880</v>
      </c>
      <c r="F1941" s="85">
        <v>45859</v>
      </c>
      <c r="G1941" s="64" t="s">
        <v>244</v>
      </c>
      <c r="H1941"/>
      <c r="I1941"/>
    </row>
    <row r="1942" spans="1:9" x14ac:dyDescent="0.35">
      <c r="A1942" s="71">
        <f t="shared" si="61"/>
        <v>101328.09999999998</v>
      </c>
      <c r="B1942" s="72">
        <f t="shared" si="60"/>
        <v>-225</v>
      </c>
      <c r="C1942" s="70">
        <v>1941</v>
      </c>
      <c r="E1942" s="66">
        <v>225</v>
      </c>
      <c r="F1942" s="85">
        <v>45860</v>
      </c>
      <c r="G1942" s="64" t="s">
        <v>1044</v>
      </c>
      <c r="H1942"/>
      <c r="I1942"/>
    </row>
    <row r="1943" spans="1:9" x14ac:dyDescent="0.35">
      <c r="A1943" s="71">
        <f t="shared" si="61"/>
        <v>101128.09999999998</v>
      </c>
      <c r="B1943" s="72">
        <f t="shared" si="60"/>
        <v>-200</v>
      </c>
      <c r="C1943" s="70">
        <v>1942</v>
      </c>
      <c r="E1943" s="66">
        <v>200</v>
      </c>
      <c r="F1943" s="85">
        <v>45859</v>
      </c>
      <c r="G1943" s="64" t="s">
        <v>437</v>
      </c>
      <c r="H1943"/>
      <c r="I1943"/>
    </row>
    <row r="1944" spans="1:9" x14ac:dyDescent="0.35">
      <c r="A1944" s="71">
        <f t="shared" si="61"/>
        <v>100828.09999999998</v>
      </c>
      <c r="B1944" s="72">
        <f t="shared" si="60"/>
        <v>-300</v>
      </c>
      <c r="C1944" s="70">
        <v>1943</v>
      </c>
      <c r="E1944" s="66">
        <v>300</v>
      </c>
      <c r="F1944" s="85">
        <v>45859</v>
      </c>
      <c r="G1944" s="64" t="s">
        <v>400</v>
      </c>
      <c r="H1944"/>
      <c r="I1944"/>
    </row>
    <row r="1945" spans="1:9" x14ac:dyDescent="0.35">
      <c r="A1945" s="71">
        <f t="shared" si="61"/>
        <v>100368.09999999998</v>
      </c>
      <c r="B1945" s="72">
        <f t="shared" si="60"/>
        <v>-460</v>
      </c>
      <c r="C1945" s="70">
        <v>1944</v>
      </c>
      <c r="E1945" s="66">
        <v>460</v>
      </c>
      <c r="F1945" s="85">
        <v>45859</v>
      </c>
      <c r="G1945" s="64" t="s">
        <v>1067</v>
      </c>
      <c r="H1945"/>
      <c r="I1945"/>
    </row>
    <row r="1946" spans="1:9" x14ac:dyDescent="0.35">
      <c r="A1946" s="71">
        <f t="shared" si="61"/>
        <v>100348.09999999998</v>
      </c>
      <c r="B1946" s="72">
        <f t="shared" si="60"/>
        <v>-20</v>
      </c>
      <c r="C1946" s="70">
        <v>1945</v>
      </c>
      <c r="E1946" s="66">
        <v>20</v>
      </c>
      <c r="F1946" s="85">
        <v>45859</v>
      </c>
      <c r="G1946" s="64" t="s">
        <v>243</v>
      </c>
      <c r="H1946"/>
      <c r="I1946"/>
    </row>
    <row r="1947" spans="1:9" x14ac:dyDescent="0.35">
      <c r="A1947" s="71">
        <f t="shared" si="61"/>
        <v>100328.09999999998</v>
      </c>
      <c r="B1947" s="72">
        <f t="shared" si="60"/>
        <v>-20</v>
      </c>
      <c r="C1947" s="70">
        <v>1946</v>
      </c>
      <c r="E1947" s="66">
        <v>20</v>
      </c>
      <c r="F1947" s="85">
        <v>45859</v>
      </c>
      <c r="G1947" s="64" t="s">
        <v>157</v>
      </c>
      <c r="H1947"/>
      <c r="I1947"/>
    </row>
    <row r="1948" spans="1:9" x14ac:dyDescent="0.35">
      <c r="A1948" s="71">
        <f t="shared" si="61"/>
        <v>100278.09999999998</v>
      </c>
      <c r="B1948" s="72">
        <f t="shared" si="60"/>
        <v>-50</v>
      </c>
      <c r="C1948" s="70">
        <v>1947</v>
      </c>
      <c r="E1948" s="66">
        <v>50</v>
      </c>
      <c r="F1948" s="85">
        <v>45860</v>
      </c>
      <c r="G1948" s="64" t="s">
        <v>541</v>
      </c>
      <c r="H1948"/>
      <c r="I1948"/>
    </row>
    <row r="1949" spans="1:9" x14ac:dyDescent="0.35">
      <c r="A1949" s="71">
        <f t="shared" si="61"/>
        <v>99778.099999999977</v>
      </c>
      <c r="B1949" s="72">
        <f t="shared" si="60"/>
        <v>-500</v>
      </c>
      <c r="C1949" s="70">
        <v>1948</v>
      </c>
      <c r="E1949" s="66">
        <v>500</v>
      </c>
      <c r="F1949" s="85">
        <v>45860</v>
      </c>
      <c r="G1949" s="64" t="s">
        <v>1045</v>
      </c>
      <c r="H1949"/>
      <c r="I1949"/>
    </row>
    <row r="1950" spans="1:9" x14ac:dyDescent="0.35">
      <c r="A1950" s="71">
        <f t="shared" si="61"/>
        <v>98963.099999999977</v>
      </c>
      <c r="B1950" s="72">
        <f t="shared" si="60"/>
        <v>-815</v>
      </c>
      <c r="C1950" s="70">
        <v>1949</v>
      </c>
      <c r="E1950" s="66">
        <v>815</v>
      </c>
      <c r="F1950" s="85">
        <v>45860</v>
      </c>
      <c r="G1950" s="64" t="s">
        <v>1045</v>
      </c>
      <c r="H1950"/>
      <c r="I1950"/>
    </row>
    <row r="1951" spans="1:9" x14ac:dyDescent="0.35">
      <c r="A1951" s="71">
        <f t="shared" si="61"/>
        <v>98693.099999999977</v>
      </c>
      <c r="B1951" s="72">
        <f t="shared" si="60"/>
        <v>-270</v>
      </c>
      <c r="C1951" s="70">
        <v>1950</v>
      </c>
      <c r="E1951" s="66">
        <v>270</v>
      </c>
      <c r="F1951" s="85">
        <v>45860</v>
      </c>
      <c r="G1951" s="64" t="s">
        <v>759</v>
      </c>
      <c r="H1951"/>
      <c r="I1951"/>
    </row>
    <row r="1952" spans="1:9" x14ac:dyDescent="0.35">
      <c r="A1952" s="71">
        <f t="shared" si="61"/>
        <v>98443.099999999977</v>
      </c>
      <c r="B1952" s="72">
        <f t="shared" si="60"/>
        <v>-250</v>
      </c>
      <c r="C1952" s="70">
        <v>1951</v>
      </c>
      <c r="E1952" s="66">
        <v>250</v>
      </c>
      <c r="F1952" s="85">
        <v>45860</v>
      </c>
      <c r="G1952" s="64" t="s">
        <v>1046</v>
      </c>
      <c r="H1952"/>
      <c r="I1952"/>
    </row>
    <row r="1953" spans="1:9" x14ac:dyDescent="0.35">
      <c r="A1953" s="71">
        <f t="shared" si="61"/>
        <v>28443.099999999977</v>
      </c>
      <c r="B1953" s="72">
        <f t="shared" si="60"/>
        <v>-70000</v>
      </c>
      <c r="C1953" s="70">
        <v>1952</v>
      </c>
      <c r="E1953" s="66">
        <v>70000</v>
      </c>
      <c r="F1953" s="85">
        <v>45860</v>
      </c>
      <c r="G1953" s="64" t="s">
        <v>1035</v>
      </c>
      <c r="H1953"/>
      <c r="I1953"/>
    </row>
    <row r="1954" spans="1:9" x14ac:dyDescent="0.35">
      <c r="A1954" s="71">
        <f t="shared" si="61"/>
        <v>91298.099999999977</v>
      </c>
      <c r="B1954" s="72">
        <f t="shared" si="60"/>
        <v>62855</v>
      </c>
      <c r="C1954" s="70">
        <v>1953</v>
      </c>
      <c r="D1954" s="65">
        <v>63205</v>
      </c>
      <c r="E1954" s="66">
        <v>350</v>
      </c>
      <c r="F1954" s="85">
        <v>45860</v>
      </c>
      <c r="G1954" s="64" t="s">
        <v>13</v>
      </c>
      <c r="H1954"/>
      <c r="I1954"/>
    </row>
    <row r="1955" spans="1:9" x14ac:dyDescent="0.35">
      <c r="A1955" s="71">
        <f t="shared" si="61"/>
        <v>90998.099999999977</v>
      </c>
      <c r="B1955" s="72">
        <f t="shared" si="60"/>
        <v>-300</v>
      </c>
      <c r="C1955" s="70">
        <v>1954</v>
      </c>
      <c r="E1955" s="66">
        <v>300</v>
      </c>
      <c r="F1955" s="85">
        <v>45860</v>
      </c>
      <c r="G1955" s="64" t="s">
        <v>752</v>
      </c>
      <c r="H1955"/>
      <c r="I1955"/>
    </row>
    <row r="1956" spans="1:9" x14ac:dyDescent="0.35">
      <c r="A1956" s="71">
        <f t="shared" si="61"/>
        <v>90898.099999999977</v>
      </c>
      <c r="B1956" s="72">
        <f t="shared" si="60"/>
        <v>-100</v>
      </c>
      <c r="C1956" s="70">
        <v>1955</v>
      </c>
      <c r="E1956" s="66">
        <v>100</v>
      </c>
      <c r="F1956" s="85">
        <v>45860</v>
      </c>
      <c r="G1956" s="64" t="s">
        <v>400</v>
      </c>
      <c r="H1956"/>
      <c r="I1956"/>
    </row>
    <row r="1957" spans="1:9" x14ac:dyDescent="0.35">
      <c r="A1957" s="71">
        <f t="shared" si="61"/>
        <v>90288.099999999977</v>
      </c>
      <c r="B1957" s="72">
        <f t="shared" si="60"/>
        <v>-610</v>
      </c>
      <c r="C1957" s="70">
        <v>1956</v>
      </c>
      <c r="E1957" s="66">
        <v>610</v>
      </c>
      <c r="F1957" s="85">
        <v>45860</v>
      </c>
      <c r="G1957" s="64" t="s">
        <v>1047</v>
      </c>
      <c r="H1957"/>
      <c r="I1957"/>
    </row>
    <row r="1958" spans="1:9" x14ac:dyDescent="0.35">
      <c r="A1958" s="71">
        <f t="shared" si="61"/>
        <v>89188.099999999977</v>
      </c>
      <c r="B1958" s="72">
        <f t="shared" si="60"/>
        <v>-1100</v>
      </c>
      <c r="C1958" s="70">
        <v>1957</v>
      </c>
      <c r="E1958" s="66">
        <v>1100</v>
      </c>
      <c r="F1958" s="85">
        <v>45861</v>
      </c>
      <c r="G1958" s="64" t="s">
        <v>1045</v>
      </c>
      <c r="H1958"/>
      <c r="I1958"/>
    </row>
    <row r="1959" spans="1:9" x14ac:dyDescent="0.35">
      <c r="A1959" s="71">
        <f t="shared" si="61"/>
        <v>89038.099999999977</v>
      </c>
      <c r="B1959" s="72">
        <f t="shared" si="60"/>
        <v>-150</v>
      </c>
      <c r="C1959" s="70">
        <v>1958</v>
      </c>
      <c r="E1959" s="66">
        <v>150</v>
      </c>
      <c r="F1959" s="85">
        <v>45861</v>
      </c>
      <c r="G1959" s="64" t="s">
        <v>1048</v>
      </c>
      <c r="H1959"/>
      <c r="I1959"/>
    </row>
    <row r="1960" spans="1:9" x14ac:dyDescent="0.35">
      <c r="A1960" s="71">
        <f t="shared" si="61"/>
        <v>87438.099999999977</v>
      </c>
      <c r="B1960" s="72">
        <f t="shared" si="60"/>
        <v>-1600</v>
      </c>
      <c r="C1960" s="70">
        <v>1959</v>
      </c>
      <c r="E1960" s="66">
        <v>1600</v>
      </c>
      <c r="F1960" s="85">
        <v>45861</v>
      </c>
      <c r="G1960" s="64" t="s">
        <v>759</v>
      </c>
      <c r="H1960"/>
      <c r="I1960"/>
    </row>
    <row r="1961" spans="1:9" x14ac:dyDescent="0.35">
      <c r="A1961" s="71">
        <f t="shared" si="61"/>
        <v>125568.09999999998</v>
      </c>
      <c r="B1961" s="72">
        <f t="shared" si="60"/>
        <v>38130</v>
      </c>
      <c r="C1961" s="70">
        <v>1960</v>
      </c>
      <c r="D1961" s="65">
        <v>38130</v>
      </c>
      <c r="F1961" s="85">
        <v>45861</v>
      </c>
      <c r="H1961"/>
      <c r="I1961"/>
    </row>
    <row r="1962" spans="1:9" x14ac:dyDescent="0.35">
      <c r="A1962" s="71">
        <f t="shared" si="61"/>
        <v>124968.09999999998</v>
      </c>
      <c r="B1962" s="72">
        <f t="shared" si="60"/>
        <v>-600</v>
      </c>
      <c r="C1962" s="70">
        <v>1961</v>
      </c>
      <c r="E1962" s="66">
        <v>600</v>
      </c>
      <c r="F1962" s="85">
        <v>45861</v>
      </c>
      <c r="G1962" s="64" t="s">
        <v>1270</v>
      </c>
      <c r="H1962"/>
      <c r="I1962"/>
    </row>
    <row r="1963" spans="1:9" x14ac:dyDescent="0.35">
      <c r="A1963" s="71">
        <f t="shared" si="61"/>
        <v>124818.09999999998</v>
      </c>
      <c r="B1963" s="72">
        <f t="shared" si="60"/>
        <v>-150</v>
      </c>
      <c r="C1963" s="70">
        <v>1962</v>
      </c>
      <c r="E1963" s="66">
        <v>150</v>
      </c>
      <c r="F1963" s="85">
        <v>45861</v>
      </c>
      <c r="G1963" s="64" t="s">
        <v>1049</v>
      </c>
      <c r="H1963"/>
      <c r="I1963"/>
    </row>
    <row r="1964" spans="1:9" x14ac:dyDescent="0.35">
      <c r="A1964" s="71">
        <f t="shared" si="61"/>
        <v>124458.09999999998</v>
      </c>
      <c r="B1964" s="72">
        <f t="shared" si="60"/>
        <v>-360</v>
      </c>
      <c r="C1964" s="70">
        <v>1963</v>
      </c>
      <c r="E1964" s="66">
        <v>360</v>
      </c>
      <c r="F1964" s="85">
        <v>45861</v>
      </c>
      <c r="G1964" s="64" t="s">
        <v>800</v>
      </c>
      <c r="H1964"/>
      <c r="I1964"/>
    </row>
    <row r="1965" spans="1:9" x14ac:dyDescent="0.35">
      <c r="A1965" s="71">
        <f t="shared" si="61"/>
        <v>124358.09999999998</v>
      </c>
      <c r="B1965" s="72">
        <f t="shared" si="60"/>
        <v>-100</v>
      </c>
      <c r="C1965" s="70">
        <v>1964</v>
      </c>
      <c r="E1965" s="66">
        <v>100</v>
      </c>
      <c r="F1965" s="85">
        <v>45861</v>
      </c>
      <c r="G1965" s="64" t="s">
        <v>120</v>
      </c>
      <c r="H1965"/>
      <c r="I1965"/>
    </row>
    <row r="1966" spans="1:9" x14ac:dyDescent="0.35">
      <c r="A1966" s="71">
        <f t="shared" si="61"/>
        <v>124308.09999999998</v>
      </c>
      <c r="B1966" s="72">
        <f t="shared" si="60"/>
        <v>-50</v>
      </c>
      <c r="C1966" s="70">
        <v>1965</v>
      </c>
      <c r="E1966" s="66">
        <v>50</v>
      </c>
      <c r="F1966" s="85">
        <v>45861</v>
      </c>
      <c r="G1966" s="64" t="s">
        <v>1050</v>
      </c>
      <c r="H1966"/>
      <c r="I1966"/>
    </row>
    <row r="1967" spans="1:9" x14ac:dyDescent="0.35">
      <c r="A1967" s="71">
        <f t="shared" si="61"/>
        <v>124258.09999999998</v>
      </c>
      <c r="B1967" s="72">
        <f t="shared" si="60"/>
        <v>-50</v>
      </c>
      <c r="C1967" s="70">
        <v>1966</v>
      </c>
      <c r="D1967" s="65">
        <v>950</v>
      </c>
      <c r="E1967" s="66">
        <v>1000</v>
      </c>
      <c r="F1967" s="85">
        <v>45861</v>
      </c>
      <c r="G1967" s="64" t="s">
        <v>1051</v>
      </c>
      <c r="H1967"/>
      <c r="I1967"/>
    </row>
    <row r="1968" spans="1:9" x14ac:dyDescent="0.35">
      <c r="A1968" s="71">
        <f t="shared" si="61"/>
        <v>124183.09999999998</v>
      </c>
      <c r="B1968" s="72">
        <f t="shared" si="60"/>
        <v>-75</v>
      </c>
      <c r="C1968" s="70">
        <v>1967</v>
      </c>
      <c r="E1968" s="66">
        <v>75</v>
      </c>
      <c r="F1968" s="85">
        <v>45862</v>
      </c>
      <c r="G1968" s="64" t="s">
        <v>1060</v>
      </c>
      <c r="H1968"/>
      <c r="I1968"/>
    </row>
    <row r="1969" spans="1:9" x14ac:dyDescent="0.35">
      <c r="A1969" s="71">
        <f t="shared" si="61"/>
        <v>123983.09999999998</v>
      </c>
      <c r="B1969" s="72">
        <f t="shared" si="60"/>
        <v>-200</v>
      </c>
      <c r="C1969" s="70">
        <v>1968</v>
      </c>
      <c r="E1969" s="66">
        <v>200</v>
      </c>
      <c r="F1969" s="85">
        <v>45864</v>
      </c>
      <c r="G1969" s="64" t="s">
        <v>1061</v>
      </c>
      <c r="H1969"/>
      <c r="I1969"/>
    </row>
    <row r="1970" spans="1:9" x14ac:dyDescent="0.35">
      <c r="A1970" s="71">
        <f t="shared" si="61"/>
        <v>126173.09999999998</v>
      </c>
      <c r="B1970" s="72">
        <f t="shared" si="60"/>
        <v>2190</v>
      </c>
      <c r="C1970" s="70">
        <v>1969</v>
      </c>
      <c r="D1970" s="65">
        <v>2390</v>
      </c>
      <c r="E1970" s="66">
        <v>200</v>
      </c>
      <c r="F1970" s="85">
        <v>45864</v>
      </c>
      <c r="G1970" s="64" t="s">
        <v>437</v>
      </c>
      <c r="H1970"/>
      <c r="I1970"/>
    </row>
    <row r="1971" spans="1:9" x14ac:dyDescent="0.35">
      <c r="A1971" s="71">
        <f t="shared" si="61"/>
        <v>126073.09999999998</v>
      </c>
      <c r="B1971" s="72">
        <f t="shared" si="60"/>
        <v>-100</v>
      </c>
      <c r="C1971" s="70">
        <v>1970</v>
      </c>
      <c r="E1971" s="66">
        <v>100</v>
      </c>
      <c r="F1971" s="85">
        <v>45864</v>
      </c>
      <c r="G1971" s="64" t="s">
        <v>1064</v>
      </c>
      <c r="H1971"/>
      <c r="I1971"/>
    </row>
    <row r="1972" spans="1:9" x14ac:dyDescent="0.35">
      <c r="A1972" s="71">
        <f t="shared" si="61"/>
        <v>125798.09999999998</v>
      </c>
      <c r="B1972" s="72">
        <f t="shared" si="60"/>
        <v>-275</v>
      </c>
      <c r="C1972" s="70">
        <v>1971</v>
      </c>
      <c r="E1972" s="66">
        <v>275</v>
      </c>
      <c r="F1972" s="85">
        <v>45864</v>
      </c>
      <c r="G1972" s="64" t="s">
        <v>1063</v>
      </c>
      <c r="H1972"/>
      <c r="I1972"/>
    </row>
    <row r="1973" spans="1:9" x14ac:dyDescent="0.35">
      <c r="A1973" s="71">
        <f t="shared" si="61"/>
        <v>125798.09999999998</v>
      </c>
      <c r="B1973" s="72">
        <f t="shared" si="60"/>
        <v>0</v>
      </c>
      <c r="C1973" s="70">
        <v>1972</v>
      </c>
      <c r="D1973" s="65">
        <v>600</v>
      </c>
      <c r="E1973" s="66">
        <v>600</v>
      </c>
      <c r="F1973" s="85">
        <v>45864</v>
      </c>
      <c r="G1973" s="64" t="s">
        <v>1074</v>
      </c>
      <c r="H1973"/>
      <c r="I1973"/>
    </row>
    <row r="1974" spans="1:9" x14ac:dyDescent="0.35">
      <c r="A1974" s="71">
        <f t="shared" si="61"/>
        <v>125198.09999999998</v>
      </c>
      <c r="B1974" s="72">
        <f t="shared" si="60"/>
        <v>-600</v>
      </c>
      <c r="C1974" s="70">
        <v>1973</v>
      </c>
      <c r="E1974" s="66">
        <v>600</v>
      </c>
      <c r="F1974" s="85">
        <v>45864</v>
      </c>
      <c r="G1974" s="64" t="s">
        <v>1065</v>
      </c>
      <c r="H1974"/>
      <c r="I1974"/>
    </row>
    <row r="1975" spans="1:9" x14ac:dyDescent="0.35">
      <c r="A1975" s="71">
        <f t="shared" si="61"/>
        <v>124248.09999999998</v>
      </c>
      <c r="B1975" s="72">
        <f t="shared" si="60"/>
        <v>-950</v>
      </c>
      <c r="C1975" s="70">
        <v>1974</v>
      </c>
      <c r="E1975" s="66">
        <v>950</v>
      </c>
      <c r="F1975" s="85">
        <v>45864</v>
      </c>
      <c r="G1975" s="64" t="s">
        <v>1066</v>
      </c>
      <c r="H1975"/>
      <c r="I1975"/>
    </row>
    <row r="1976" spans="1:9" x14ac:dyDescent="0.35">
      <c r="A1976" s="71">
        <f t="shared" si="61"/>
        <v>132513.09999999998</v>
      </c>
      <c r="B1976" s="72">
        <f t="shared" si="60"/>
        <v>8265</v>
      </c>
      <c r="C1976" s="70">
        <v>1975</v>
      </c>
      <c r="D1976" s="65">
        <v>10275</v>
      </c>
      <c r="E1976" s="66">
        <v>2010</v>
      </c>
      <c r="F1976" s="85">
        <v>45864</v>
      </c>
      <c r="G1976" s="64" t="s">
        <v>64</v>
      </c>
      <c r="H1976"/>
      <c r="I1976"/>
    </row>
    <row r="1977" spans="1:9" x14ac:dyDescent="0.35">
      <c r="A1977" s="71">
        <f t="shared" si="61"/>
        <v>130943.09999999998</v>
      </c>
      <c r="B1977" s="72">
        <f t="shared" si="60"/>
        <v>-1570</v>
      </c>
      <c r="C1977" s="70">
        <v>1976</v>
      </c>
      <c r="E1977" s="66">
        <v>1570</v>
      </c>
      <c r="F1977" s="85">
        <v>45864</v>
      </c>
      <c r="G1977" s="64" t="s">
        <v>1068</v>
      </c>
      <c r="H1977"/>
      <c r="I1977"/>
    </row>
    <row r="1978" spans="1:9" x14ac:dyDescent="0.35">
      <c r="A1978" s="71">
        <f t="shared" si="61"/>
        <v>130743.09999999998</v>
      </c>
      <c r="B1978" s="72">
        <f t="shared" si="60"/>
        <v>-200</v>
      </c>
      <c r="C1978" s="70">
        <v>1977</v>
      </c>
      <c r="E1978" s="66">
        <v>200</v>
      </c>
      <c r="F1978" s="85">
        <v>45864</v>
      </c>
      <c r="G1978" s="64" t="s">
        <v>1069</v>
      </c>
      <c r="H1978"/>
      <c r="I1978"/>
    </row>
    <row r="1979" spans="1:9" x14ac:dyDescent="0.35">
      <c r="A1979" s="71">
        <f t="shared" si="61"/>
        <v>130503.09999999998</v>
      </c>
      <c r="B1979" s="72">
        <f t="shared" si="60"/>
        <v>-240</v>
      </c>
      <c r="C1979" s="70">
        <v>1978</v>
      </c>
      <c r="E1979" s="66">
        <v>240</v>
      </c>
      <c r="F1979" s="85">
        <v>45865</v>
      </c>
      <c r="G1979" s="64" t="s">
        <v>1070</v>
      </c>
      <c r="H1979"/>
      <c r="I1979"/>
    </row>
    <row r="1980" spans="1:9" x14ac:dyDescent="0.35">
      <c r="A1980" s="71">
        <f t="shared" si="61"/>
        <v>120003.09999999998</v>
      </c>
      <c r="B1980" s="72">
        <f t="shared" si="60"/>
        <v>-10500</v>
      </c>
      <c r="C1980" s="70">
        <v>1979</v>
      </c>
      <c r="E1980" s="66">
        <v>10500</v>
      </c>
      <c r="F1980" s="85">
        <v>45865</v>
      </c>
      <c r="G1980" s="64" t="s">
        <v>1071</v>
      </c>
      <c r="H1980"/>
      <c r="I1980"/>
    </row>
    <row r="1981" spans="1:9" x14ac:dyDescent="0.35">
      <c r="A1981" s="71">
        <f t="shared" si="61"/>
        <v>115503.09999999998</v>
      </c>
      <c r="B1981" s="72">
        <f t="shared" si="60"/>
        <v>-4500</v>
      </c>
      <c r="C1981" s="70">
        <v>1980</v>
      </c>
      <c r="E1981" s="66">
        <v>4500</v>
      </c>
      <c r="F1981" s="85">
        <v>45865</v>
      </c>
      <c r="G1981" s="64" t="s">
        <v>1027</v>
      </c>
      <c r="H1981"/>
      <c r="I1981"/>
    </row>
    <row r="1982" spans="1:9" x14ac:dyDescent="0.35">
      <c r="A1982" s="71">
        <f t="shared" si="61"/>
        <v>115353.09999999998</v>
      </c>
      <c r="B1982" s="72">
        <f t="shared" si="60"/>
        <v>-150</v>
      </c>
      <c r="C1982" s="70">
        <v>1981</v>
      </c>
      <c r="E1982" s="66">
        <v>150</v>
      </c>
      <c r="F1982" s="85">
        <v>45865</v>
      </c>
      <c r="G1982" s="64" t="s">
        <v>1072</v>
      </c>
      <c r="H1982"/>
      <c r="I1982"/>
    </row>
    <row r="1983" spans="1:9" x14ac:dyDescent="0.35">
      <c r="A1983" s="71">
        <f t="shared" si="61"/>
        <v>111353.09999999998</v>
      </c>
      <c r="B1983" s="72">
        <f t="shared" si="60"/>
        <v>-4000</v>
      </c>
      <c r="C1983" s="70">
        <v>1982</v>
      </c>
      <c r="E1983" s="66">
        <v>4000</v>
      </c>
      <c r="F1983" s="85">
        <v>45865</v>
      </c>
      <c r="G1983" s="64" t="s">
        <v>1073</v>
      </c>
      <c r="H1983"/>
      <c r="I1983"/>
    </row>
    <row r="1984" spans="1:9" x14ac:dyDescent="0.35">
      <c r="A1984" s="71">
        <f t="shared" si="61"/>
        <v>110968.09999999998</v>
      </c>
      <c r="B1984" s="72">
        <f t="shared" si="60"/>
        <v>-385</v>
      </c>
      <c r="C1984" s="70">
        <v>1983</v>
      </c>
      <c r="E1984" s="66">
        <v>385</v>
      </c>
      <c r="F1984" s="85">
        <v>45865</v>
      </c>
      <c r="G1984" s="64" t="s">
        <v>1075</v>
      </c>
      <c r="H1984"/>
      <c r="I1984"/>
    </row>
    <row r="1985" spans="1:9" x14ac:dyDescent="0.35">
      <c r="A1985" s="71">
        <f t="shared" si="61"/>
        <v>110553.09999999998</v>
      </c>
      <c r="B1985" s="72">
        <f t="shared" si="60"/>
        <v>-415</v>
      </c>
      <c r="C1985" s="70">
        <v>1984</v>
      </c>
      <c r="E1985" s="66">
        <v>415</v>
      </c>
      <c r="F1985" s="85">
        <v>45865</v>
      </c>
      <c r="G1985" s="64" t="s">
        <v>1045</v>
      </c>
      <c r="H1985"/>
      <c r="I1985"/>
    </row>
    <row r="1986" spans="1:9" x14ac:dyDescent="0.35">
      <c r="A1986" s="71">
        <f t="shared" si="61"/>
        <v>145093.09999999998</v>
      </c>
      <c r="B1986" s="72">
        <f t="shared" si="60"/>
        <v>34540</v>
      </c>
      <c r="C1986" s="70">
        <v>1985</v>
      </c>
      <c r="D1986" s="65">
        <v>34590</v>
      </c>
      <c r="E1986" s="66">
        <v>50</v>
      </c>
      <c r="F1986" s="85">
        <v>45865</v>
      </c>
      <c r="G1986" s="64" t="s">
        <v>357</v>
      </c>
      <c r="H1986"/>
      <c r="I1986"/>
    </row>
    <row r="1987" spans="1:9" x14ac:dyDescent="0.35">
      <c r="A1987" s="71">
        <f t="shared" si="61"/>
        <v>143043.09999999998</v>
      </c>
      <c r="B1987" s="72">
        <f t="shared" ref="B1987:B2050" si="62">SUM(D1987-E1987)</f>
        <v>-2050</v>
      </c>
      <c r="C1987" s="70">
        <v>1986</v>
      </c>
      <c r="E1987" s="66">
        <v>2050</v>
      </c>
      <c r="F1987" s="85">
        <v>45865</v>
      </c>
      <c r="G1987" s="64" t="s">
        <v>1104</v>
      </c>
      <c r="H1987"/>
      <c r="I1987"/>
    </row>
    <row r="1988" spans="1:9" x14ac:dyDescent="0.35">
      <c r="A1988" s="71">
        <f t="shared" ref="A1988:A2051" si="63">SUM(A1987+B1988)</f>
        <v>142893.09999999998</v>
      </c>
      <c r="B1988" s="72">
        <f t="shared" si="62"/>
        <v>-150</v>
      </c>
      <c r="C1988" s="70">
        <v>1987</v>
      </c>
      <c r="E1988" s="66">
        <v>150</v>
      </c>
      <c r="F1988" s="85">
        <v>45865</v>
      </c>
      <c r="G1988" s="64" t="s">
        <v>65</v>
      </c>
      <c r="H1988"/>
      <c r="I1988"/>
    </row>
    <row r="1989" spans="1:9" x14ac:dyDescent="0.35">
      <c r="A1989" s="71">
        <f t="shared" si="63"/>
        <v>135893.09999999998</v>
      </c>
      <c r="B1989" s="72">
        <f t="shared" si="62"/>
        <v>-7000</v>
      </c>
      <c r="C1989" s="70">
        <v>1988</v>
      </c>
      <c r="E1989" s="66">
        <v>7000</v>
      </c>
      <c r="F1989" s="85">
        <v>45865</v>
      </c>
      <c r="G1989" s="64" t="s">
        <v>1077</v>
      </c>
      <c r="H1989"/>
      <c r="I1989"/>
    </row>
    <row r="1990" spans="1:9" x14ac:dyDescent="0.35">
      <c r="A1990" s="71">
        <f t="shared" si="63"/>
        <v>135573.09999999998</v>
      </c>
      <c r="B1990" s="72">
        <f t="shared" si="62"/>
        <v>-320</v>
      </c>
      <c r="C1990" s="70">
        <v>1989</v>
      </c>
      <c r="E1990" s="66">
        <v>320</v>
      </c>
      <c r="F1990" s="85">
        <v>45865</v>
      </c>
      <c r="G1990" s="64" t="s">
        <v>75</v>
      </c>
      <c r="H1990"/>
      <c r="I1990"/>
    </row>
    <row r="1991" spans="1:9" x14ac:dyDescent="0.35">
      <c r="A1991" s="71">
        <f t="shared" si="63"/>
        <v>135158.09999999998</v>
      </c>
      <c r="B1991" s="72">
        <f t="shared" si="62"/>
        <v>-415</v>
      </c>
      <c r="C1991" s="70">
        <v>1990</v>
      </c>
      <c r="E1991" s="66">
        <v>415</v>
      </c>
      <c r="F1991" s="85">
        <v>45865</v>
      </c>
      <c r="G1991" s="64" t="s">
        <v>1045</v>
      </c>
      <c r="H1991"/>
      <c r="I1991"/>
    </row>
    <row r="1992" spans="1:9" x14ac:dyDescent="0.35">
      <c r="A1992" s="71">
        <f t="shared" si="63"/>
        <v>135158.09999999998</v>
      </c>
      <c r="B1992" s="72">
        <f t="shared" si="62"/>
        <v>0</v>
      </c>
      <c r="C1992" s="70">
        <v>1991</v>
      </c>
      <c r="D1992" s="65">
        <v>1000</v>
      </c>
      <c r="E1992" s="66">
        <v>1000</v>
      </c>
      <c r="F1992" s="85">
        <v>45866</v>
      </c>
      <c r="G1992" s="64" t="s">
        <v>751</v>
      </c>
      <c r="H1992"/>
      <c r="I1992"/>
    </row>
    <row r="1993" spans="1:9" x14ac:dyDescent="0.35">
      <c r="A1993" s="71">
        <f t="shared" si="63"/>
        <v>131988.09999999998</v>
      </c>
      <c r="B1993" s="72">
        <f t="shared" si="62"/>
        <v>-3170</v>
      </c>
      <c r="C1993" s="70">
        <v>1992</v>
      </c>
      <c r="E1993" s="66">
        <v>3170</v>
      </c>
      <c r="F1993" s="85">
        <v>45866</v>
      </c>
      <c r="G1993" s="64" t="s">
        <v>1076</v>
      </c>
      <c r="H1993"/>
      <c r="I1993"/>
    </row>
    <row r="1994" spans="1:9" x14ac:dyDescent="0.35">
      <c r="A1994" s="71">
        <f t="shared" si="63"/>
        <v>140108.09999999998</v>
      </c>
      <c r="B1994" s="72">
        <f t="shared" si="62"/>
        <v>8120</v>
      </c>
      <c r="C1994" s="70">
        <v>1993</v>
      </c>
      <c r="D1994" s="65">
        <v>8220</v>
      </c>
      <c r="E1994" s="66">
        <v>100</v>
      </c>
      <c r="F1994" s="85">
        <v>45867</v>
      </c>
      <c r="G1994" s="64" t="s">
        <v>1083</v>
      </c>
      <c r="H1994"/>
      <c r="I1994"/>
    </row>
    <row r="1995" spans="1:9" x14ac:dyDescent="0.35">
      <c r="A1995" s="71">
        <f t="shared" si="63"/>
        <v>139953.09999999998</v>
      </c>
      <c r="B1995" s="72">
        <f t="shared" si="62"/>
        <v>-155</v>
      </c>
      <c r="C1995" s="70">
        <v>1994</v>
      </c>
      <c r="E1995" s="66">
        <v>155</v>
      </c>
      <c r="F1995" s="85">
        <v>45867</v>
      </c>
      <c r="G1995" s="64" t="s">
        <v>1090</v>
      </c>
      <c r="H1995"/>
      <c r="I1995"/>
    </row>
    <row r="1996" spans="1:9" x14ac:dyDescent="0.35">
      <c r="A1996" s="71">
        <f t="shared" si="63"/>
        <v>139678.09999999998</v>
      </c>
      <c r="B1996" s="72">
        <f t="shared" si="62"/>
        <v>-275</v>
      </c>
      <c r="C1996" s="70">
        <v>1995</v>
      </c>
      <c r="E1996" s="66">
        <v>275</v>
      </c>
      <c r="F1996" s="85">
        <v>45867</v>
      </c>
      <c r="G1996" s="64" t="s">
        <v>0</v>
      </c>
      <c r="H1996"/>
      <c r="I1996"/>
    </row>
    <row r="1997" spans="1:9" x14ac:dyDescent="0.35">
      <c r="A1997" s="71">
        <f t="shared" si="63"/>
        <v>139658.09999999998</v>
      </c>
      <c r="B1997" s="72">
        <f t="shared" si="62"/>
        <v>-20</v>
      </c>
      <c r="C1997" s="70">
        <v>1996</v>
      </c>
      <c r="E1997" s="66">
        <v>20</v>
      </c>
      <c r="F1997" s="85">
        <v>45867</v>
      </c>
      <c r="G1997" s="64" t="s">
        <v>296</v>
      </c>
      <c r="H1997"/>
      <c r="I1997"/>
    </row>
    <row r="1998" spans="1:9" x14ac:dyDescent="0.35">
      <c r="A1998" s="71">
        <f t="shared" si="63"/>
        <v>139198.09999999998</v>
      </c>
      <c r="B1998" s="72">
        <f t="shared" si="62"/>
        <v>-460</v>
      </c>
      <c r="C1998" s="70">
        <v>1997</v>
      </c>
      <c r="E1998" s="66">
        <v>460</v>
      </c>
      <c r="F1998" s="85">
        <v>45867</v>
      </c>
      <c r="G1998" s="64" t="s">
        <v>1078</v>
      </c>
      <c r="H1998"/>
      <c r="I1998"/>
    </row>
    <row r="1999" spans="1:9" x14ac:dyDescent="0.35">
      <c r="A1999" s="71">
        <f t="shared" si="63"/>
        <v>174253.09999999998</v>
      </c>
      <c r="B1999" s="72">
        <f t="shared" si="62"/>
        <v>35055</v>
      </c>
      <c r="C1999" s="70">
        <v>1998</v>
      </c>
      <c r="D1999" s="65">
        <v>35105</v>
      </c>
      <c r="E1999" s="66">
        <v>50</v>
      </c>
      <c r="F1999" s="85">
        <v>45867</v>
      </c>
      <c r="G1999" s="64" t="s">
        <v>990</v>
      </c>
      <c r="H1999"/>
      <c r="I1999"/>
    </row>
    <row r="2000" spans="1:9" x14ac:dyDescent="0.35">
      <c r="A2000" s="71">
        <f t="shared" si="63"/>
        <v>173803.09999999998</v>
      </c>
      <c r="B2000" s="72">
        <f t="shared" si="62"/>
        <v>-450</v>
      </c>
      <c r="C2000" s="70">
        <v>1999</v>
      </c>
      <c r="E2000" s="66">
        <v>450</v>
      </c>
      <c r="F2000" s="85">
        <v>45867</v>
      </c>
      <c r="G2000" s="64" t="s">
        <v>800</v>
      </c>
      <c r="H2000"/>
      <c r="I2000"/>
    </row>
    <row r="2001" spans="1:9" x14ac:dyDescent="0.35">
      <c r="A2001" s="71">
        <f t="shared" si="63"/>
        <v>173503.09999999998</v>
      </c>
      <c r="B2001" s="72">
        <f t="shared" si="62"/>
        <v>-300</v>
      </c>
      <c r="C2001" s="70">
        <v>2000</v>
      </c>
      <c r="E2001" s="66">
        <v>300</v>
      </c>
      <c r="F2001" s="85">
        <v>45867</v>
      </c>
      <c r="G2001" s="64" t="s">
        <v>752</v>
      </c>
      <c r="H2001"/>
      <c r="I2001"/>
    </row>
    <row r="2002" spans="1:9" x14ac:dyDescent="0.35">
      <c r="A2002" s="71">
        <f t="shared" si="63"/>
        <v>173553.09999999998</v>
      </c>
      <c r="B2002" s="72">
        <f t="shared" si="62"/>
        <v>50</v>
      </c>
      <c r="C2002" s="70">
        <v>2001</v>
      </c>
      <c r="D2002" s="65">
        <v>50</v>
      </c>
      <c r="F2002" s="85">
        <v>45867</v>
      </c>
      <c r="G2002" s="64" t="s">
        <v>1080</v>
      </c>
      <c r="H2002"/>
      <c r="I2002"/>
    </row>
    <row r="2003" spans="1:9" x14ac:dyDescent="0.35">
      <c r="A2003" s="71">
        <f t="shared" si="63"/>
        <v>173528.09999999998</v>
      </c>
      <c r="B2003" s="72">
        <f t="shared" si="62"/>
        <v>-25</v>
      </c>
      <c r="C2003" s="70">
        <v>2002</v>
      </c>
      <c r="E2003" s="66">
        <v>25</v>
      </c>
      <c r="F2003" s="85">
        <v>45867</v>
      </c>
      <c r="G2003" s="64" t="s">
        <v>1079</v>
      </c>
      <c r="H2003"/>
      <c r="I2003"/>
    </row>
    <row r="2004" spans="1:9" x14ac:dyDescent="0.35">
      <c r="A2004" s="71">
        <f t="shared" si="63"/>
        <v>165378.09999999998</v>
      </c>
      <c r="B2004" s="72">
        <f t="shared" si="62"/>
        <v>-8150</v>
      </c>
      <c r="C2004" s="70">
        <v>2003</v>
      </c>
      <c r="E2004" s="66">
        <v>8150</v>
      </c>
      <c r="F2004" s="85">
        <v>45868</v>
      </c>
      <c r="G2004" s="64" t="s">
        <v>1081</v>
      </c>
      <c r="H2004"/>
      <c r="I2004"/>
    </row>
    <row r="2005" spans="1:9" x14ac:dyDescent="0.35">
      <c r="A2005" s="71">
        <f t="shared" si="63"/>
        <v>165378.09999999998</v>
      </c>
      <c r="B2005" s="72">
        <f t="shared" si="62"/>
        <v>0</v>
      </c>
      <c r="C2005" s="70">
        <v>2004</v>
      </c>
      <c r="D2005" s="65">
        <v>27800</v>
      </c>
      <c r="E2005" s="66">
        <v>27800</v>
      </c>
      <c r="F2005" s="85">
        <v>45868</v>
      </c>
      <c r="G2005" s="64" t="s">
        <v>1109</v>
      </c>
      <c r="H2005"/>
      <c r="I2005"/>
    </row>
    <row r="2006" spans="1:9" x14ac:dyDescent="0.35">
      <c r="A2006" s="71">
        <f t="shared" si="63"/>
        <v>165378.09999999998</v>
      </c>
      <c r="B2006" s="72">
        <f t="shared" si="62"/>
        <v>0</v>
      </c>
      <c r="C2006" s="70">
        <v>2005</v>
      </c>
      <c r="D2006" s="65">
        <v>300</v>
      </c>
      <c r="E2006" s="66">
        <v>300</v>
      </c>
      <c r="F2006" s="85">
        <v>45868</v>
      </c>
      <c r="G2006" s="64" t="s">
        <v>1082</v>
      </c>
      <c r="H2006"/>
      <c r="I2006"/>
    </row>
    <row r="2007" spans="1:9" x14ac:dyDescent="0.35">
      <c r="A2007" s="71">
        <f t="shared" si="63"/>
        <v>192218.09999999998</v>
      </c>
      <c r="B2007" s="72">
        <f t="shared" si="62"/>
        <v>26840</v>
      </c>
      <c r="C2007" s="70">
        <v>2006</v>
      </c>
      <c r="D2007" s="65">
        <v>26840</v>
      </c>
      <c r="F2007" s="85">
        <v>45868</v>
      </c>
      <c r="H2007"/>
      <c r="I2007"/>
    </row>
    <row r="2008" spans="1:9" x14ac:dyDescent="0.35">
      <c r="A2008" s="71">
        <f t="shared" si="63"/>
        <v>192168.09999999998</v>
      </c>
      <c r="B2008" s="72">
        <f t="shared" si="62"/>
        <v>-50</v>
      </c>
      <c r="C2008" s="70">
        <v>2007</v>
      </c>
      <c r="E2008" s="66">
        <v>50</v>
      </c>
      <c r="F2008" s="85">
        <v>45868</v>
      </c>
      <c r="G2008" s="64" t="s">
        <v>36</v>
      </c>
      <c r="H2008"/>
      <c r="I2008"/>
    </row>
    <row r="2009" spans="1:9" x14ac:dyDescent="0.35">
      <c r="A2009" s="71">
        <f t="shared" si="63"/>
        <v>165668.09999999998</v>
      </c>
      <c r="B2009" s="72">
        <f t="shared" si="62"/>
        <v>-26500</v>
      </c>
      <c r="C2009" s="70">
        <v>2008</v>
      </c>
      <c r="E2009" s="66">
        <v>26500</v>
      </c>
      <c r="F2009" s="85">
        <v>45869</v>
      </c>
      <c r="G2009" s="64" t="s">
        <v>1084</v>
      </c>
      <c r="H2009"/>
      <c r="I2009"/>
    </row>
    <row r="2010" spans="1:9" x14ac:dyDescent="0.35">
      <c r="A2010" s="71">
        <f t="shared" si="63"/>
        <v>110036.09999999998</v>
      </c>
      <c r="B2010" s="72">
        <f t="shared" si="62"/>
        <v>-55632</v>
      </c>
      <c r="C2010" s="70">
        <v>2009</v>
      </c>
      <c r="E2010" s="66">
        <v>55632</v>
      </c>
      <c r="F2010" s="85">
        <v>45869</v>
      </c>
      <c r="G2010" s="64" t="s">
        <v>784</v>
      </c>
      <c r="H2010"/>
      <c r="I2010"/>
    </row>
    <row r="2011" spans="1:9" x14ac:dyDescent="0.35">
      <c r="A2011" s="71">
        <f t="shared" si="63"/>
        <v>110086.09999999998</v>
      </c>
      <c r="B2011" s="72">
        <f t="shared" si="62"/>
        <v>50</v>
      </c>
      <c r="C2011" s="70">
        <v>2010</v>
      </c>
      <c r="D2011" s="65">
        <v>50</v>
      </c>
      <c r="F2011" s="85">
        <v>45869</v>
      </c>
      <c r="H2011"/>
      <c r="I2011"/>
    </row>
    <row r="2012" spans="1:9" x14ac:dyDescent="0.35">
      <c r="A2012" s="71">
        <f t="shared" si="63"/>
        <v>112866.09999999998</v>
      </c>
      <c r="B2012" s="72">
        <f t="shared" si="62"/>
        <v>2780</v>
      </c>
      <c r="C2012" s="70">
        <v>2011</v>
      </c>
      <c r="D2012" s="65">
        <v>3080</v>
      </c>
      <c r="E2012" s="66">
        <v>300</v>
      </c>
      <c r="F2012" s="85">
        <v>45869</v>
      </c>
      <c r="G2012" s="64" t="s">
        <v>1069</v>
      </c>
      <c r="H2012"/>
      <c r="I2012"/>
    </row>
    <row r="2013" spans="1:9" x14ac:dyDescent="0.35">
      <c r="A2013" s="71">
        <f t="shared" si="63"/>
        <v>111866.09999999998</v>
      </c>
      <c r="B2013" s="72">
        <f t="shared" si="62"/>
        <v>-1000</v>
      </c>
      <c r="C2013" s="70">
        <v>2012</v>
      </c>
      <c r="E2013" s="66">
        <v>1000</v>
      </c>
      <c r="F2013" s="85">
        <v>45869</v>
      </c>
      <c r="G2013" s="64" t="s">
        <v>87</v>
      </c>
      <c r="H2013"/>
      <c r="I2013"/>
    </row>
    <row r="2014" spans="1:9" x14ac:dyDescent="0.35">
      <c r="A2014" s="71">
        <f t="shared" si="63"/>
        <v>109466.09999999998</v>
      </c>
      <c r="B2014" s="72">
        <f t="shared" si="62"/>
        <v>-2400</v>
      </c>
      <c r="C2014" s="70">
        <v>2013</v>
      </c>
      <c r="D2014" s="65">
        <v>6500</v>
      </c>
      <c r="E2014" s="66">
        <v>8900</v>
      </c>
      <c r="F2014" s="85">
        <v>45869</v>
      </c>
      <c r="G2014" s="64" t="s">
        <v>1110</v>
      </c>
      <c r="H2014"/>
      <c r="I2014"/>
    </row>
    <row r="2015" spans="1:9" x14ac:dyDescent="0.35">
      <c r="A2015" s="71">
        <f t="shared" si="63"/>
        <v>110366.09999999998</v>
      </c>
      <c r="B2015" s="72">
        <f t="shared" si="62"/>
        <v>900</v>
      </c>
      <c r="C2015" s="70">
        <v>2014</v>
      </c>
      <c r="D2015" s="65">
        <v>900</v>
      </c>
      <c r="F2015" s="85">
        <v>45869</v>
      </c>
      <c r="G2015" s="64" t="s">
        <v>1269</v>
      </c>
      <c r="H2015"/>
      <c r="I2015"/>
    </row>
    <row r="2016" spans="1:9" x14ac:dyDescent="0.35">
      <c r="A2016" s="71">
        <f t="shared" si="63"/>
        <v>109241.09999999998</v>
      </c>
      <c r="B2016" s="72">
        <f t="shared" si="62"/>
        <v>-1125</v>
      </c>
      <c r="C2016" s="70">
        <v>2015</v>
      </c>
      <c r="E2016" s="66">
        <v>1125</v>
      </c>
      <c r="F2016" s="85">
        <v>45869</v>
      </c>
      <c r="G2016" s="64" t="s">
        <v>252</v>
      </c>
      <c r="H2016"/>
      <c r="I2016"/>
    </row>
    <row r="2017" spans="1:9" x14ac:dyDescent="0.35">
      <c r="A2017" s="71">
        <f t="shared" si="63"/>
        <v>108841.09999999998</v>
      </c>
      <c r="B2017" s="72">
        <f t="shared" si="62"/>
        <v>-400</v>
      </c>
      <c r="C2017" s="70">
        <v>2016</v>
      </c>
      <c r="E2017" s="66">
        <v>400</v>
      </c>
      <c r="F2017" s="85">
        <v>45869</v>
      </c>
      <c r="G2017" s="64" t="s">
        <v>1096</v>
      </c>
      <c r="H2017"/>
      <c r="I2017"/>
    </row>
    <row r="2018" spans="1:9" x14ac:dyDescent="0.35">
      <c r="A2018" s="71">
        <f t="shared" si="63"/>
        <v>106441.09999999998</v>
      </c>
      <c r="B2018" s="72">
        <f t="shared" si="62"/>
        <v>-2400</v>
      </c>
      <c r="C2018" s="70">
        <v>2017</v>
      </c>
      <c r="E2018" s="66">
        <v>2400</v>
      </c>
      <c r="F2018" s="85">
        <v>45871</v>
      </c>
      <c r="G2018" s="64" t="s">
        <v>1085</v>
      </c>
      <c r="H2018"/>
      <c r="I2018"/>
    </row>
    <row r="2019" spans="1:9" x14ac:dyDescent="0.35">
      <c r="A2019" s="71">
        <f t="shared" si="63"/>
        <v>105166.09999999998</v>
      </c>
      <c r="B2019" s="72">
        <f t="shared" si="62"/>
        <v>-1275</v>
      </c>
      <c r="C2019" s="70">
        <v>2018</v>
      </c>
      <c r="E2019" s="66">
        <v>1275</v>
      </c>
      <c r="F2019" s="85">
        <v>45871</v>
      </c>
      <c r="G2019" s="64" t="s">
        <v>1086</v>
      </c>
      <c r="H2019"/>
      <c r="I2019"/>
    </row>
    <row r="2020" spans="1:9" x14ac:dyDescent="0.35">
      <c r="A2020" s="71">
        <f t="shared" si="63"/>
        <v>109261.09999999998</v>
      </c>
      <c r="B2020" s="72">
        <f t="shared" si="62"/>
        <v>4095</v>
      </c>
      <c r="C2020" s="70">
        <v>2019</v>
      </c>
      <c r="D2020" s="65">
        <v>6045</v>
      </c>
      <c r="E2020" s="66">
        <v>1950</v>
      </c>
      <c r="F2020" s="85">
        <v>45871</v>
      </c>
      <c r="G2020" s="64" t="s">
        <v>1087</v>
      </c>
      <c r="H2020"/>
      <c r="I2020"/>
    </row>
    <row r="2021" spans="1:9" x14ac:dyDescent="0.35">
      <c r="A2021" s="71">
        <f t="shared" si="63"/>
        <v>109161.09999999998</v>
      </c>
      <c r="B2021" s="72">
        <f t="shared" si="62"/>
        <v>-100</v>
      </c>
      <c r="C2021" s="70">
        <v>2020</v>
      </c>
      <c r="E2021" s="66">
        <v>100</v>
      </c>
      <c r="F2021" s="85">
        <v>45871</v>
      </c>
      <c r="G2021" s="64" t="s">
        <v>752</v>
      </c>
      <c r="H2021"/>
      <c r="I2021"/>
    </row>
    <row r="2022" spans="1:9" x14ac:dyDescent="0.35">
      <c r="A2022" s="71">
        <f t="shared" si="63"/>
        <v>109161.09999999998</v>
      </c>
      <c r="B2022" s="72">
        <f t="shared" si="62"/>
        <v>0</v>
      </c>
      <c r="C2022" s="70">
        <v>2021</v>
      </c>
      <c r="D2022" s="65">
        <v>30000</v>
      </c>
      <c r="E2022" s="66">
        <v>30000</v>
      </c>
      <c r="F2022" s="85">
        <v>45871</v>
      </c>
      <c r="G2022" s="64" t="s">
        <v>1089</v>
      </c>
      <c r="H2022"/>
      <c r="I2022"/>
    </row>
    <row r="2023" spans="1:9" x14ac:dyDescent="0.35">
      <c r="A2023" s="71">
        <f t="shared" si="63"/>
        <v>106186.09999999998</v>
      </c>
      <c r="B2023" s="72">
        <f t="shared" si="62"/>
        <v>-2975</v>
      </c>
      <c r="C2023" s="70">
        <v>2022</v>
      </c>
      <c r="E2023" s="66">
        <v>2975</v>
      </c>
      <c r="F2023" s="85">
        <v>45871</v>
      </c>
      <c r="G2023" s="64" t="s">
        <v>1088</v>
      </c>
      <c r="H2023"/>
      <c r="I2023"/>
    </row>
    <row r="2024" spans="1:9" x14ac:dyDescent="0.35">
      <c r="A2024" s="71">
        <f t="shared" si="63"/>
        <v>104186.09999999998</v>
      </c>
      <c r="B2024" s="72">
        <f t="shared" si="62"/>
        <v>-2000</v>
      </c>
      <c r="C2024" s="70">
        <v>2023</v>
      </c>
      <c r="E2024" s="66">
        <v>2000</v>
      </c>
      <c r="F2024" s="85">
        <v>45871</v>
      </c>
      <c r="G2024" s="64" t="s">
        <v>1091</v>
      </c>
      <c r="H2024"/>
      <c r="I2024"/>
    </row>
    <row r="2025" spans="1:9" x14ac:dyDescent="0.35">
      <c r="A2025" s="71">
        <f t="shared" si="63"/>
        <v>104186.09999999998</v>
      </c>
      <c r="B2025" s="72">
        <f t="shared" si="62"/>
        <v>0</v>
      </c>
      <c r="C2025" s="70">
        <v>2024</v>
      </c>
      <c r="D2025" s="65">
        <v>100</v>
      </c>
      <c r="E2025" s="66">
        <v>100</v>
      </c>
      <c r="F2025" s="85">
        <v>45871</v>
      </c>
      <c r="G2025" s="64" t="s">
        <v>1074</v>
      </c>
      <c r="H2025"/>
      <c r="I2025"/>
    </row>
    <row r="2026" spans="1:9" x14ac:dyDescent="0.35">
      <c r="A2026" s="71">
        <f t="shared" si="63"/>
        <v>101566.09999999998</v>
      </c>
      <c r="B2026" s="72">
        <f t="shared" si="62"/>
        <v>-2620</v>
      </c>
      <c r="C2026" s="70">
        <v>2025</v>
      </c>
      <c r="E2026" s="66">
        <v>2620</v>
      </c>
      <c r="F2026" s="85">
        <v>45872</v>
      </c>
      <c r="G2026" s="64" t="s">
        <v>1092</v>
      </c>
      <c r="H2026"/>
      <c r="I2026"/>
    </row>
    <row r="2027" spans="1:9" x14ac:dyDescent="0.35">
      <c r="A2027" s="71">
        <f t="shared" si="63"/>
        <v>100816.09999999998</v>
      </c>
      <c r="B2027" s="72">
        <f t="shared" si="62"/>
        <v>-750</v>
      </c>
      <c r="C2027" s="70">
        <v>2026</v>
      </c>
      <c r="E2027" s="66">
        <v>750</v>
      </c>
      <c r="F2027" s="85">
        <v>45872</v>
      </c>
      <c r="G2027" s="64" t="s">
        <v>1093</v>
      </c>
      <c r="H2027"/>
      <c r="I2027"/>
    </row>
    <row r="2028" spans="1:9" x14ac:dyDescent="0.35">
      <c r="A2028" s="71">
        <f t="shared" si="63"/>
        <v>100486.09999999998</v>
      </c>
      <c r="B2028" s="72">
        <f t="shared" si="62"/>
        <v>-330</v>
      </c>
      <c r="C2028" s="70">
        <v>2027</v>
      </c>
      <c r="E2028" s="66">
        <v>330</v>
      </c>
      <c r="F2028" s="85">
        <v>45872</v>
      </c>
      <c r="G2028" s="64" t="s">
        <v>1094</v>
      </c>
      <c r="H2028"/>
      <c r="I2028"/>
    </row>
    <row r="2029" spans="1:9" x14ac:dyDescent="0.35">
      <c r="A2029" s="71">
        <f t="shared" si="63"/>
        <v>99236.099999999977</v>
      </c>
      <c r="B2029" s="72">
        <f t="shared" si="62"/>
        <v>-1250</v>
      </c>
      <c r="C2029" s="70">
        <v>2028</v>
      </c>
      <c r="E2029" s="66">
        <v>1250</v>
      </c>
      <c r="F2029" s="85">
        <v>45872</v>
      </c>
      <c r="G2029" s="64" t="s">
        <v>1095</v>
      </c>
      <c r="H2029"/>
      <c r="I2029"/>
    </row>
    <row r="2030" spans="1:9" x14ac:dyDescent="0.35">
      <c r="A2030" s="71">
        <f t="shared" si="63"/>
        <v>72636.099999999977</v>
      </c>
      <c r="B2030" s="72">
        <f t="shared" si="62"/>
        <v>-26600</v>
      </c>
      <c r="C2030" s="70">
        <v>2029</v>
      </c>
      <c r="E2030" s="66">
        <v>26600</v>
      </c>
      <c r="F2030" s="85">
        <v>45872</v>
      </c>
      <c r="G2030" s="64" t="s">
        <v>15</v>
      </c>
      <c r="H2030"/>
      <c r="I2030"/>
    </row>
    <row r="2031" spans="1:9" x14ac:dyDescent="0.35">
      <c r="A2031" s="71">
        <f t="shared" si="63"/>
        <v>73142.099999999977</v>
      </c>
      <c r="B2031" s="72">
        <f t="shared" si="62"/>
        <v>506</v>
      </c>
      <c r="C2031" s="70">
        <v>2030</v>
      </c>
      <c r="D2031" s="65">
        <v>506</v>
      </c>
      <c r="F2031" s="85">
        <v>45872</v>
      </c>
      <c r="G2031" s="64" t="s">
        <v>1239</v>
      </c>
      <c r="H2031"/>
      <c r="I2031"/>
    </row>
    <row r="2032" spans="1:9" x14ac:dyDescent="0.35">
      <c r="A2032" s="71">
        <f t="shared" si="63"/>
        <v>121227.09999999998</v>
      </c>
      <c r="B2032" s="72">
        <f t="shared" si="62"/>
        <v>48085</v>
      </c>
      <c r="C2032" s="70">
        <v>2031</v>
      </c>
      <c r="D2032" s="65">
        <v>48285</v>
      </c>
      <c r="E2032" s="66">
        <v>200</v>
      </c>
      <c r="F2032" s="85">
        <v>45872</v>
      </c>
      <c r="G2032" s="64" t="s">
        <v>437</v>
      </c>
      <c r="H2032"/>
      <c r="I2032"/>
    </row>
    <row r="2033" spans="1:9" x14ac:dyDescent="0.35">
      <c r="A2033" s="71">
        <f t="shared" si="63"/>
        <v>120227.09999999998</v>
      </c>
      <c r="B2033" s="72">
        <f t="shared" si="62"/>
        <v>-1000</v>
      </c>
      <c r="C2033" s="70">
        <v>2032</v>
      </c>
      <c r="E2033" s="66">
        <v>1000</v>
      </c>
      <c r="F2033" s="85">
        <v>45873</v>
      </c>
      <c r="G2033" s="64" t="s">
        <v>1097</v>
      </c>
      <c r="H2033"/>
      <c r="I2033"/>
    </row>
    <row r="2034" spans="1:9" x14ac:dyDescent="0.35">
      <c r="A2034" s="71">
        <f t="shared" si="63"/>
        <v>119477.09999999998</v>
      </c>
      <c r="B2034" s="72">
        <f t="shared" si="62"/>
        <v>-750</v>
      </c>
      <c r="C2034" s="70">
        <v>2033</v>
      </c>
      <c r="E2034" s="66">
        <v>750</v>
      </c>
      <c r="F2034" s="85">
        <v>45873</v>
      </c>
      <c r="G2034" s="64" t="s">
        <v>1098</v>
      </c>
      <c r="H2034"/>
      <c r="I2034"/>
    </row>
    <row r="2035" spans="1:9" x14ac:dyDescent="0.35">
      <c r="A2035" s="71">
        <f t="shared" si="63"/>
        <v>130997.09999999998</v>
      </c>
      <c r="B2035" s="72">
        <f t="shared" si="62"/>
        <v>11520</v>
      </c>
      <c r="C2035" s="70">
        <v>2034</v>
      </c>
      <c r="D2035" s="65">
        <v>11520</v>
      </c>
      <c r="F2035" s="85">
        <v>45873</v>
      </c>
      <c r="H2035"/>
      <c r="I2035"/>
    </row>
    <row r="2036" spans="1:9" x14ac:dyDescent="0.35">
      <c r="A2036" s="71">
        <f t="shared" si="63"/>
        <v>130997.09999999998</v>
      </c>
      <c r="B2036" s="72">
        <f t="shared" si="62"/>
        <v>0</v>
      </c>
      <c r="C2036" s="70">
        <v>2035</v>
      </c>
      <c r="D2036" s="65">
        <v>4800</v>
      </c>
      <c r="E2036" s="66">
        <v>4800</v>
      </c>
      <c r="F2036" s="85">
        <v>45873</v>
      </c>
      <c r="G2036" s="64" t="s">
        <v>1099</v>
      </c>
      <c r="H2036"/>
      <c r="I2036"/>
    </row>
    <row r="2037" spans="1:9" x14ac:dyDescent="0.35">
      <c r="A2037" s="71">
        <f t="shared" si="63"/>
        <v>111747.09999999998</v>
      </c>
      <c r="B2037" s="72">
        <f t="shared" si="62"/>
        <v>-19250</v>
      </c>
      <c r="C2037" s="70">
        <v>2036</v>
      </c>
      <c r="E2037" s="66">
        <v>19250</v>
      </c>
      <c r="F2037" s="85">
        <v>45873</v>
      </c>
      <c r="G2037" s="64" t="s">
        <v>1102</v>
      </c>
      <c r="H2037"/>
      <c r="I2037"/>
    </row>
    <row r="2038" spans="1:9" x14ac:dyDescent="0.35">
      <c r="A2038" s="71">
        <f t="shared" si="63"/>
        <v>110647.09999999998</v>
      </c>
      <c r="B2038" s="72">
        <f t="shared" si="62"/>
        <v>-1100</v>
      </c>
      <c r="C2038" s="70">
        <v>2037</v>
      </c>
      <c r="E2038" s="66">
        <v>1100</v>
      </c>
      <c r="F2038" s="85">
        <v>45873</v>
      </c>
      <c r="G2038" s="64" t="s">
        <v>1101</v>
      </c>
      <c r="H2038"/>
      <c r="I2038"/>
    </row>
    <row r="2039" spans="1:9" x14ac:dyDescent="0.35">
      <c r="A2039" s="71">
        <f t="shared" si="63"/>
        <v>110297.09999999998</v>
      </c>
      <c r="B2039" s="72">
        <f t="shared" si="62"/>
        <v>-350</v>
      </c>
      <c r="C2039" s="70">
        <v>2038</v>
      </c>
      <c r="E2039" s="66">
        <v>350</v>
      </c>
      <c r="F2039" s="85">
        <v>45873</v>
      </c>
      <c r="G2039" s="64" t="s">
        <v>1100</v>
      </c>
      <c r="H2039"/>
      <c r="I2039"/>
    </row>
    <row r="2040" spans="1:9" x14ac:dyDescent="0.35">
      <c r="A2040" s="71">
        <f t="shared" si="63"/>
        <v>110297.09999999998</v>
      </c>
      <c r="B2040" s="72">
        <f t="shared" si="62"/>
        <v>0</v>
      </c>
      <c r="C2040" s="70">
        <v>2039</v>
      </c>
      <c r="D2040" s="65">
        <v>200</v>
      </c>
      <c r="E2040" s="66">
        <v>200</v>
      </c>
      <c r="F2040" s="85">
        <v>45873</v>
      </c>
      <c r="G2040" s="64" t="s">
        <v>1350</v>
      </c>
      <c r="H2040"/>
      <c r="I2040"/>
    </row>
    <row r="2041" spans="1:9" x14ac:dyDescent="0.35">
      <c r="A2041" s="71">
        <f t="shared" si="63"/>
        <v>110197.09999999998</v>
      </c>
      <c r="B2041" s="72">
        <f t="shared" si="62"/>
        <v>-100</v>
      </c>
      <c r="C2041" s="70">
        <v>2040</v>
      </c>
      <c r="E2041" s="66">
        <v>100</v>
      </c>
      <c r="F2041" s="85">
        <v>45873</v>
      </c>
      <c r="G2041" s="64" t="s">
        <v>437</v>
      </c>
      <c r="H2041"/>
      <c r="I2041"/>
    </row>
    <row r="2042" spans="1:9" x14ac:dyDescent="0.35">
      <c r="A2042" s="71">
        <f t="shared" si="63"/>
        <v>109997.09999999998</v>
      </c>
      <c r="B2042" s="72">
        <f t="shared" si="62"/>
        <v>-200</v>
      </c>
      <c r="C2042" s="70">
        <v>2041</v>
      </c>
      <c r="E2042" s="66">
        <v>200</v>
      </c>
      <c r="F2042" s="85">
        <v>45873</v>
      </c>
      <c r="G2042" s="64" t="s">
        <v>1069</v>
      </c>
      <c r="H2042"/>
      <c r="I2042"/>
    </row>
    <row r="2043" spans="1:9" x14ac:dyDescent="0.35">
      <c r="A2043" s="71">
        <f t="shared" si="63"/>
        <v>108897.09999999998</v>
      </c>
      <c r="B2043" s="72">
        <f t="shared" si="62"/>
        <v>-1100</v>
      </c>
      <c r="C2043" s="70">
        <v>2042</v>
      </c>
      <c r="E2043" s="66">
        <v>1100</v>
      </c>
      <c r="F2043" s="85">
        <v>45873</v>
      </c>
      <c r="G2043" s="64" t="s">
        <v>252</v>
      </c>
      <c r="H2043"/>
      <c r="I2043"/>
    </row>
    <row r="2044" spans="1:9" x14ac:dyDescent="0.35">
      <c r="A2044" s="71">
        <f t="shared" si="63"/>
        <v>108742.09999999998</v>
      </c>
      <c r="B2044" s="72">
        <f t="shared" si="62"/>
        <v>-155</v>
      </c>
      <c r="C2044" s="70">
        <v>2043</v>
      </c>
      <c r="E2044" s="66">
        <v>155</v>
      </c>
      <c r="F2044" s="85">
        <v>45873</v>
      </c>
      <c r="G2044" s="64" t="s">
        <v>1103</v>
      </c>
      <c r="H2044"/>
      <c r="I2044"/>
    </row>
    <row r="2045" spans="1:9" x14ac:dyDescent="0.35">
      <c r="A2045" s="71">
        <f t="shared" si="63"/>
        <v>108722.09999999998</v>
      </c>
      <c r="B2045" s="72">
        <f t="shared" si="62"/>
        <v>-20</v>
      </c>
      <c r="C2045" s="70">
        <v>2044</v>
      </c>
      <c r="E2045" s="66">
        <v>20</v>
      </c>
      <c r="F2045" s="85">
        <v>45873</v>
      </c>
      <c r="G2045" s="64" t="s">
        <v>243</v>
      </c>
      <c r="H2045"/>
      <c r="I2045"/>
    </row>
    <row r="2046" spans="1:9" x14ac:dyDescent="0.35">
      <c r="A2046" s="71">
        <f t="shared" si="63"/>
        <v>108562.09999999998</v>
      </c>
      <c r="B2046" s="72">
        <f t="shared" si="62"/>
        <v>-160</v>
      </c>
      <c r="C2046" s="70">
        <v>2045</v>
      </c>
      <c r="E2046" s="66">
        <v>160</v>
      </c>
      <c r="F2046" s="85">
        <v>45873</v>
      </c>
      <c r="G2046" s="64" t="s">
        <v>680</v>
      </c>
      <c r="H2046"/>
      <c r="I2046"/>
    </row>
    <row r="2047" spans="1:9" x14ac:dyDescent="0.35">
      <c r="A2047" s="71">
        <f t="shared" si="63"/>
        <v>103902.09999999998</v>
      </c>
      <c r="B2047" s="72">
        <f t="shared" si="62"/>
        <v>-4660</v>
      </c>
      <c r="C2047" s="70">
        <v>2046</v>
      </c>
      <c r="E2047" s="66">
        <v>4660</v>
      </c>
      <c r="F2047" s="85">
        <v>45874</v>
      </c>
      <c r="G2047" s="64" t="s">
        <v>1280</v>
      </c>
      <c r="H2047"/>
      <c r="I2047"/>
    </row>
    <row r="2048" spans="1:9" x14ac:dyDescent="0.35">
      <c r="A2048" s="71">
        <f t="shared" si="63"/>
        <v>141837.09999999998</v>
      </c>
      <c r="B2048" s="72">
        <f t="shared" si="62"/>
        <v>37935</v>
      </c>
      <c r="C2048" s="70">
        <v>2047</v>
      </c>
      <c r="D2048" s="65">
        <v>38255</v>
      </c>
      <c r="E2048" s="66">
        <v>320</v>
      </c>
      <c r="F2048" s="85">
        <v>45874</v>
      </c>
      <c r="G2048" s="64" t="s">
        <v>75</v>
      </c>
      <c r="H2048"/>
      <c r="I2048"/>
    </row>
    <row r="2049" spans="1:9" x14ac:dyDescent="0.35">
      <c r="A2049" s="71">
        <f t="shared" si="63"/>
        <v>141837.09999999998</v>
      </c>
      <c r="B2049" s="72">
        <f t="shared" si="62"/>
        <v>0</v>
      </c>
      <c r="C2049" s="70">
        <v>2048</v>
      </c>
      <c r="D2049" s="65">
        <v>100</v>
      </c>
      <c r="E2049" s="66">
        <v>100</v>
      </c>
      <c r="F2049" s="85">
        <v>45874</v>
      </c>
      <c r="G2049" s="64" t="s">
        <v>466</v>
      </c>
      <c r="H2049"/>
      <c r="I2049"/>
    </row>
    <row r="2050" spans="1:9" x14ac:dyDescent="0.35">
      <c r="A2050" s="71">
        <f t="shared" si="63"/>
        <v>141797.09999999998</v>
      </c>
      <c r="B2050" s="72">
        <f t="shared" si="62"/>
        <v>-40</v>
      </c>
      <c r="C2050" s="70">
        <v>2049</v>
      </c>
      <c r="E2050" s="66">
        <v>40</v>
      </c>
      <c r="F2050" s="85">
        <v>45874</v>
      </c>
      <c r="G2050" s="64" t="s">
        <v>1105</v>
      </c>
      <c r="H2050"/>
      <c r="I2050"/>
    </row>
    <row r="2051" spans="1:9" x14ac:dyDescent="0.35">
      <c r="A2051" s="71">
        <f t="shared" si="63"/>
        <v>140047.09999999998</v>
      </c>
      <c r="B2051" s="72">
        <f t="shared" ref="B2051:B2114" si="64">SUM(D2051-E2051)</f>
        <v>-1750</v>
      </c>
      <c r="C2051" s="70">
        <v>2050</v>
      </c>
      <c r="E2051" s="66">
        <v>1750</v>
      </c>
      <c r="F2051" s="85">
        <v>45874</v>
      </c>
      <c r="G2051" s="64" t="s">
        <v>1106</v>
      </c>
      <c r="H2051"/>
      <c r="I2051"/>
    </row>
    <row r="2052" spans="1:9" x14ac:dyDescent="0.35">
      <c r="A2052" s="71">
        <f t="shared" ref="A2052:A2115" si="65">SUM(A2051+B2052)</f>
        <v>139947.09999999998</v>
      </c>
      <c r="B2052" s="72">
        <f t="shared" si="64"/>
        <v>-100</v>
      </c>
      <c r="C2052" s="70">
        <v>2051</v>
      </c>
      <c r="E2052" s="66">
        <v>100</v>
      </c>
      <c r="F2052" s="85">
        <v>45874</v>
      </c>
      <c r="G2052" s="64" t="s">
        <v>437</v>
      </c>
      <c r="H2052"/>
      <c r="I2052"/>
    </row>
    <row r="2053" spans="1:9" x14ac:dyDescent="0.35">
      <c r="A2053" s="71">
        <f t="shared" si="65"/>
        <v>139397.09999999998</v>
      </c>
      <c r="B2053" s="72">
        <f t="shared" si="64"/>
        <v>-550</v>
      </c>
      <c r="C2053" s="70">
        <v>2052</v>
      </c>
      <c r="E2053" s="66">
        <v>550</v>
      </c>
      <c r="F2053" s="85">
        <v>45875</v>
      </c>
      <c r="G2053" s="64" t="s">
        <v>1107</v>
      </c>
      <c r="H2053"/>
      <c r="I2053"/>
    </row>
    <row r="2054" spans="1:9" x14ac:dyDescent="0.35">
      <c r="A2054" s="71">
        <f t="shared" si="65"/>
        <v>148162.09999999998</v>
      </c>
      <c r="B2054" s="72">
        <f t="shared" si="64"/>
        <v>8765</v>
      </c>
      <c r="C2054" s="70">
        <v>2053</v>
      </c>
      <c r="D2054" s="65">
        <v>8865</v>
      </c>
      <c r="E2054" s="66">
        <v>100</v>
      </c>
      <c r="F2054" s="85">
        <v>45875</v>
      </c>
      <c r="G2054" s="64" t="s">
        <v>611</v>
      </c>
      <c r="H2054"/>
      <c r="I2054"/>
    </row>
    <row r="2055" spans="1:9" x14ac:dyDescent="0.35">
      <c r="A2055" s="71">
        <f t="shared" si="65"/>
        <v>52162.099999999977</v>
      </c>
      <c r="B2055" s="72">
        <f t="shared" si="64"/>
        <v>-96000</v>
      </c>
      <c r="C2055" s="70">
        <v>2054</v>
      </c>
      <c r="E2055" s="66">
        <v>96000</v>
      </c>
      <c r="F2055" s="85">
        <v>45875</v>
      </c>
      <c r="G2055" s="64" t="s">
        <v>1111</v>
      </c>
      <c r="H2055"/>
      <c r="I2055"/>
    </row>
    <row r="2056" spans="1:9" x14ac:dyDescent="0.35">
      <c r="A2056" s="71">
        <f t="shared" si="65"/>
        <v>54762.099999999977</v>
      </c>
      <c r="B2056" s="72">
        <f t="shared" si="64"/>
        <v>2600</v>
      </c>
      <c r="C2056" s="70">
        <v>2055</v>
      </c>
      <c r="D2056" s="65">
        <v>2800</v>
      </c>
      <c r="E2056" s="66">
        <v>200</v>
      </c>
      <c r="F2056" s="85">
        <v>45876</v>
      </c>
      <c r="G2056" s="64" t="s">
        <v>1108</v>
      </c>
      <c r="H2056"/>
      <c r="I2056"/>
    </row>
    <row r="2057" spans="1:9" x14ac:dyDescent="0.35">
      <c r="A2057" s="71">
        <f t="shared" si="65"/>
        <v>58162.099999999977</v>
      </c>
      <c r="B2057" s="72">
        <f t="shared" si="64"/>
        <v>3400</v>
      </c>
      <c r="C2057" s="70">
        <v>2056</v>
      </c>
      <c r="D2057" s="65">
        <v>3450</v>
      </c>
      <c r="E2057" s="66">
        <v>50</v>
      </c>
      <c r="F2057" s="85">
        <v>45878</v>
      </c>
      <c r="G2057" s="64" t="s">
        <v>1112</v>
      </c>
      <c r="H2057"/>
      <c r="I2057"/>
    </row>
    <row r="2058" spans="1:9" x14ac:dyDescent="0.35">
      <c r="A2058" s="71">
        <f t="shared" si="65"/>
        <v>58112.099999999977</v>
      </c>
      <c r="B2058" s="72">
        <f t="shared" si="64"/>
        <v>-50</v>
      </c>
      <c r="C2058" s="70">
        <v>2057</v>
      </c>
      <c r="D2058" s="65">
        <v>200</v>
      </c>
      <c r="E2058" s="66">
        <v>250</v>
      </c>
      <c r="F2058" s="85">
        <v>45878</v>
      </c>
      <c r="G2058" s="64" t="s">
        <v>1352</v>
      </c>
      <c r="H2058"/>
      <c r="I2058"/>
    </row>
    <row r="2059" spans="1:9" x14ac:dyDescent="0.35">
      <c r="A2059" s="71">
        <f t="shared" si="65"/>
        <v>73112.099999999977</v>
      </c>
      <c r="B2059" s="72">
        <f t="shared" si="64"/>
        <v>15000</v>
      </c>
      <c r="C2059" s="70">
        <v>2058</v>
      </c>
      <c r="D2059" s="65">
        <v>15000</v>
      </c>
      <c r="F2059" s="85">
        <v>45879</v>
      </c>
      <c r="G2059" s="64" t="s">
        <v>683</v>
      </c>
      <c r="H2059"/>
      <c r="I2059"/>
    </row>
    <row r="2060" spans="1:9" x14ac:dyDescent="0.35">
      <c r="A2060" s="71">
        <f t="shared" si="65"/>
        <v>72112.099999999977</v>
      </c>
      <c r="B2060" s="72">
        <f t="shared" si="64"/>
        <v>-1000</v>
      </c>
      <c r="C2060" s="70">
        <v>2059</v>
      </c>
      <c r="E2060" s="66">
        <v>1000</v>
      </c>
      <c r="F2060" s="85">
        <v>45879</v>
      </c>
      <c r="G2060" s="64" t="s">
        <v>1113</v>
      </c>
      <c r="H2060"/>
      <c r="I2060"/>
    </row>
    <row r="2061" spans="1:9" x14ac:dyDescent="0.35">
      <c r="A2061" s="71">
        <f t="shared" si="65"/>
        <v>57712.099999999977</v>
      </c>
      <c r="B2061" s="72">
        <f t="shared" si="64"/>
        <v>-14400</v>
      </c>
      <c r="C2061" s="70">
        <v>2060</v>
      </c>
      <c r="E2061" s="66">
        <v>14400</v>
      </c>
      <c r="F2061" s="85">
        <v>45879</v>
      </c>
      <c r="G2061" s="64" t="s">
        <v>279</v>
      </c>
      <c r="H2061"/>
      <c r="I2061"/>
    </row>
    <row r="2062" spans="1:9" x14ac:dyDescent="0.35">
      <c r="A2062" s="71">
        <f t="shared" si="65"/>
        <v>75364.099999999977</v>
      </c>
      <c r="B2062" s="72">
        <f t="shared" si="64"/>
        <v>17652</v>
      </c>
      <c r="C2062" s="70">
        <v>2061</v>
      </c>
      <c r="D2062" s="65">
        <v>67400</v>
      </c>
      <c r="E2062" s="66">
        <v>49748</v>
      </c>
      <c r="F2062" s="85">
        <v>45879</v>
      </c>
      <c r="G2062" s="64" t="s">
        <v>1118</v>
      </c>
      <c r="H2062"/>
      <c r="I2062"/>
    </row>
    <row r="2063" spans="1:9" x14ac:dyDescent="0.35">
      <c r="A2063" s="71">
        <f t="shared" si="65"/>
        <v>75164.099999999977</v>
      </c>
      <c r="B2063" s="72">
        <f t="shared" si="64"/>
        <v>-200</v>
      </c>
      <c r="C2063" s="70">
        <v>2062</v>
      </c>
      <c r="E2063" s="66">
        <v>200</v>
      </c>
      <c r="F2063" s="85">
        <v>45879</v>
      </c>
      <c r="G2063" s="64" t="s">
        <v>1043</v>
      </c>
      <c r="H2063"/>
      <c r="I2063"/>
    </row>
    <row r="2064" spans="1:9" x14ac:dyDescent="0.35">
      <c r="A2064" s="71">
        <f t="shared" si="65"/>
        <v>70524.099999999977</v>
      </c>
      <c r="B2064" s="72">
        <f t="shared" si="64"/>
        <v>-4640</v>
      </c>
      <c r="C2064" s="70">
        <v>2063</v>
      </c>
      <c r="E2064" s="66">
        <v>4640</v>
      </c>
      <c r="F2064" s="85">
        <v>45879</v>
      </c>
      <c r="G2064" s="64" t="s">
        <v>1114</v>
      </c>
      <c r="H2064"/>
      <c r="I2064"/>
    </row>
    <row r="2065" spans="1:9" x14ac:dyDescent="0.35">
      <c r="A2065" s="71">
        <f t="shared" si="65"/>
        <v>70554.099999999977</v>
      </c>
      <c r="B2065" s="72">
        <f t="shared" si="64"/>
        <v>30</v>
      </c>
      <c r="C2065" s="70">
        <v>2064</v>
      </c>
      <c r="D2065" s="65">
        <v>30</v>
      </c>
      <c r="F2065" s="85">
        <v>45879</v>
      </c>
      <c r="G2065" s="64" t="s">
        <v>1115</v>
      </c>
      <c r="H2065"/>
      <c r="I2065"/>
    </row>
    <row r="2066" spans="1:9" x14ac:dyDescent="0.35">
      <c r="A2066" s="71">
        <f t="shared" si="65"/>
        <v>70454.099999999977</v>
      </c>
      <c r="B2066" s="72">
        <f t="shared" si="64"/>
        <v>-100</v>
      </c>
      <c r="C2066" s="70">
        <v>2065</v>
      </c>
      <c r="E2066" s="66">
        <v>100</v>
      </c>
      <c r="F2066" s="85">
        <v>45879</v>
      </c>
      <c r="G2066" s="64" t="s">
        <v>437</v>
      </c>
      <c r="H2066"/>
      <c r="I2066"/>
    </row>
    <row r="2067" spans="1:9" x14ac:dyDescent="0.35">
      <c r="A2067" s="71">
        <f t="shared" si="65"/>
        <v>70354.099999999977</v>
      </c>
      <c r="B2067" s="72">
        <f t="shared" si="64"/>
        <v>-100</v>
      </c>
      <c r="C2067" s="70">
        <v>2066</v>
      </c>
      <c r="E2067" s="66">
        <v>100</v>
      </c>
      <c r="F2067" s="85">
        <v>45879</v>
      </c>
      <c r="G2067" s="64" t="s">
        <v>250</v>
      </c>
      <c r="H2067"/>
      <c r="I2067"/>
    </row>
    <row r="2068" spans="1:9" x14ac:dyDescent="0.35">
      <c r="A2068" s="71">
        <f t="shared" si="65"/>
        <v>70154.099999999977</v>
      </c>
      <c r="B2068" s="72">
        <f t="shared" si="64"/>
        <v>-200</v>
      </c>
      <c r="C2068" s="70">
        <v>2067</v>
      </c>
      <c r="E2068" s="66">
        <v>200</v>
      </c>
      <c r="F2068" s="85">
        <v>45879</v>
      </c>
      <c r="G2068" s="64" t="s">
        <v>1119</v>
      </c>
      <c r="H2068"/>
      <c r="I2068"/>
    </row>
    <row r="2069" spans="1:9" x14ac:dyDescent="0.35">
      <c r="A2069" s="71">
        <f t="shared" si="65"/>
        <v>57804.099999999977</v>
      </c>
      <c r="B2069" s="72">
        <f t="shared" si="64"/>
        <v>-12350</v>
      </c>
      <c r="C2069" s="70">
        <v>2068</v>
      </c>
      <c r="E2069" s="66">
        <v>12350</v>
      </c>
      <c r="F2069" s="85">
        <v>45880</v>
      </c>
      <c r="G2069" s="64" t="s">
        <v>1120</v>
      </c>
      <c r="H2069"/>
      <c r="I2069"/>
    </row>
    <row r="2070" spans="1:9" x14ac:dyDescent="0.35">
      <c r="A2070" s="71">
        <f t="shared" si="65"/>
        <v>67144.099999999977</v>
      </c>
      <c r="B2070" s="72">
        <f t="shared" si="64"/>
        <v>9340</v>
      </c>
      <c r="C2070" s="70">
        <v>2069</v>
      </c>
      <c r="D2070" s="65">
        <v>11360</v>
      </c>
      <c r="E2070" s="66">
        <v>2020</v>
      </c>
      <c r="F2070" s="85">
        <v>45880</v>
      </c>
      <c r="G2070" s="64" t="s">
        <v>64</v>
      </c>
      <c r="H2070"/>
      <c r="I2070"/>
    </row>
    <row r="2071" spans="1:9" x14ac:dyDescent="0.35">
      <c r="A2071" s="71">
        <f t="shared" si="65"/>
        <v>66944.099999999977</v>
      </c>
      <c r="B2071" s="72">
        <f t="shared" si="64"/>
        <v>-200</v>
      </c>
      <c r="C2071" s="70">
        <v>2070</v>
      </c>
      <c r="E2071" s="66">
        <v>200</v>
      </c>
      <c r="F2071" s="85">
        <v>45880</v>
      </c>
      <c r="G2071" s="64" t="s">
        <v>752</v>
      </c>
      <c r="H2071"/>
      <c r="I2071"/>
    </row>
    <row r="2072" spans="1:9" x14ac:dyDescent="0.35">
      <c r="A2072" s="71">
        <f t="shared" si="65"/>
        <v>66788.099999999977</v>
      </c>
      <c r="B2072" s="72">
        <f t="shared" si="64"/>
        <v>-156</v>
      </c>
      <c r="C2072" s="70">
        <v>2071</v>
      </c>
      <c r="E2072" s="66">
        <v>156</v>
      </c>
      <c r="F2072" s="85">
        <v>45880</v>
      </c>
      <c r="G2072" s="64" t="s">
        <v>961</v>
      </c>
      <c r="H2072"/>
      <c r="I2072"/>
    </row>
    <row r="2073" spans="1:9" x14ac:dyDescent="0.35">
      <c r="A2073" s="71">
        <f t="shared" si="65"/>
        <v>66513.099999999977</v>
      </c>
      <c r="B2073" s="72">
        <f t="shared" si="64"/>
        <v>-275</v>
      </c>
      <c r="C2073" s="70">
        <v>2072</v>
      </c>
      <c r="E2073" s="66">
        <v>275</v>
      </c>
      <c r="F2073" s="85">
        <v>45880</v>
      </c>
      <c r="G2073" s="64" t="s">
        <v>50</v>
      </c>
      <c r="H2073"/>
      <c r="I2073"/>
    </row>
    <row r="2074" spans="1:9" x14ac:dyDescent="0.35">
      <c r="A2074" s="71">
        <f t="shared" si="65"/>
        <v>66488.099999999977</v>
      </c>
      <c r="B2074" s="72">
        <f t="shared" si="64"/>
        <v>-25</v>
      </c>
      <c r="C2074" s="70">
        <v>2073</v>
      </c>
      <c r="E2074" s="66">
        <v>25</v>
      </c>
      <c r="F2074" s="85">
        <v>45880</v>
      </c>
      <c r="G2074" s="64" t="s">
        <v>3</v>
      </c>
      <c r="H2074"/>
      <c r="I2074"/>
    </row>
    <row r="2075" spans="1:9" x14ac:dyDescent="0.35">
      <c r="A2075" s="71">
        <f t="shared" si="65"/>
        <v>66468.099999999977</v>
      </c>
      <c r="B2075" s="72">
        <f t="shared" si="64"/>
        <v>-20</v>
      </c>
      <c r="C2075" s="70">
        <v>2074</v>
      </c>
      <c r="E2075" s="66">
        <v>20</v>
      </c>
      <c r="F2075" s="85">
        <v>45880</v>
      </c>
      <c r="G2075" s="64" t="s">
        <v>243</v>
      </c>
      <c r="H2075"/>
      <c r="I2075"/>
    </row>
    <row r="2076" spans="1:9" x14ac:dyDescent="0.35">
      <c r="A2076" s="71">
        <f t="shared" si="65"/>
        <v>128163.09999999998</v>
      </c>
      <c r="B2076" s="72">
        <f t="shared" si="64"/>
        <v>61695</v>
      </c>
      <c r="C2076" s="70">
        <v>2075</v>
      </c>
      <c r="D2076" s="65">
        <v>61760</v>
      </c>
      <c r="E2076" s="66">
        <v>65</v>
      </c>
      <c r="F2076" s="85">
        <v>45881</v>
      </c>
      <c r="G2076" s="64" t="s">
        <v>250</v>
      </c>
      <c r="H2076"/>
      <c r="I2076"/>
    </row>
    <row r="2077" spans="1:9" x14ac:dyDescent="0.35">
      <c r="A2077" s="71">
        <f t="shared" si="65"/>
        <v>127263.09999999998</v>
      </c>
      <c r="B2077" s="72">
        <f t="shared" si="64"/>
        <v>-900</v>
      </c>
      <c r="C2077" s="70">
        <v>2076</v>
      </c>
      <c r="E2077" s="66">
        <v>900</v>
      </c>
      <c r="F2077" s="85">
        <v>45881</v>
      </c>
      <c r="G2077" s="64" t="s">
        <v>1043</v>
      </c>
      <c r="H2077"/>
      <c r="I2077"/>
    </row>
    <row r="2078" spans="1:9" x14ac:dyDescent="0.35">
      <c r="A2078" s="71">
        <f t="shared" si="65"/>
        <v>122263.09999999998</v>
      </c>
      <c r="B2078" s="72">
        <f t="shared" si="64"/>
        <v>-5000</v>
      </c>
      <c r="C2078" s="70">
        <v>2077</v>
      </c>
      <c r="D2078" s="65">
        <v>5000</v>
      </c>
      <c r="E2078" s="66">
        <v>10000</v>
      </c>
      <c r="F2078" s="85">
        <v>45881</v>
      </c>
      <c r="G2078" s="64" t="s">
        <v>1124</v>
      </c>
      <c r="H2078"/>
      <c r="I2078"/>
    </row>
    <row r="2079" spans="1:9" x14ac:dyDescent="0.35">
      <c r="A2079" s="71">
        <f t="shared" si="65"/>
        <v>122163.09999999998</v>
      </c>
      <c r="B2079" s="72">
        <f t="shared" si="64"/>
        <v>-100</v>
      </c>
      <c r="C2079" s="70">
        <v>2078</v>
      </c>
      <c r="E2079" s="66">
        <v>100</v>
      </c>
      <c r="F2079" s="85">
        <v>45881</v>
      </c>
      <c r="G2079" s="64" t="s">
        <v>437</v>
      </c>
      <c r="H2079"/>
      <c r="I2079"/>
    </row>
    <row r="2080" spans="1:9" x14ac:dyDescent="0.35">
      <c r="A2080" s="71">
        <f t="shared" si="65"/>
        <v>120523.09999999998</v>
      </c>
      <c r="B2080" s="72">
        <f t="shared" si="64"/>
        <v>-1640</v>
      </c>
      <c r="C2080" s="70">
        <v>2079</v>
      </c>
      <c r="E2080" s="66">
        <v>1640</v>
      </c>
      <c r="F2080" s="85">
        <v>45882</v>
      </c>
      <c r="G2080" s="64" t="s">
        <v>1125</v>
      </c>
      <c r="H2080"/>
      <c r="I2080"/>
    </row>
    <row r="2081" spans="1:9" x14ac:dyDescent="0.35">
      <c r="A2081" s="71">
        <f t="shared" si="65"/>
        <v>119793.09999999998</v>
      </c>
      <c r="B2081" s="72">
        <f t="shared" si="64"/>
        <v>-730</v>
      </c>
      <c r="C2081" s="70">
        <v>2080</v>
      </c>
      <c r="E2081" s="66">
        <v>730</v>
      </c>
      <c r="F2081" s="85">
        <v>45882</v>
      </c>
      <c r="G2081" s="64" t="s">
        <v>1088</v>
      </c>
      <c r="H2081"/>
      <c r="I2081"/>
    </row>
    <row r="2082" spans="1:9" x14ac:dyDescent="0.35">
      <c r="A2082" s="71">
        <f t="shared" si="65"/>
        <v>128493.09999999998</v>
      </c>
      <c r="B2082" s="72">
        <f t="shared" si="64"/>
        <v>8700</v>
      </c>
      <c r="C2082" s="70">
        <v>2081</v>
      </c>
      <c r="D2082" s="65">
        <v>8700</v>
      </c>
      <c r="F2082" s="85">
        <v>45882</v>
      </c>
      <c r="G2082" s="64" t="s">
        <v>12</v>
      </c>
      <c r="H2082"/>
      <c r="I2082"/>
    </row>
    <row r="2083" spans="1:9" x14ac:dyDescent="0.35">
      <c r="A2083" s="71">
        <f t="shared" si="65"/>
        <v>127943.09999999998</v>
      </c>
      <c r="B2083" s="72">
        <f t="shared" si="64"/>
        <v>-550</v>
      </c>
      <c r="C2083" s="70">
        <v>2082</v>
      </c>
      <c r="E2083" s="66">
        <v>550</v>
      </c>
      <c r="F2083" s="85">
        <v>45882</v>
      </c>
      <c r="G2083" s="64" t="s">
        <v>1107</v>
      </c>
      <c r="H2083"/>
      <c r="I2083"/>
    </row>
    <row r="2084" spans="1:9" x14ac:dyDescent="0.35">
      <c r="A2084" s="71">
        <f t="shared" si="65"/>
        <v>127843.09999999998</v>
      </c>
      <c r="B2084" s="72">
        <f t="shared" si="64"/>
        <v>-100</v>
      </c>
      <c r="C2084" s="70">
        <v>2083</v>
      </c>
      <c r="E2084" s="66">
        <v>100</v>
      </c>
      <c r="F2084" s="85">
        <v>45882</v>
      </c>
      <c r="G2084" s="64" t="s">
        <v>437</v>
      </c>
      <c r="H2084"/>
      <c r="I2084"/>
    </row>
    <row r="2085" spans="1:9" x14ac:dyDescent="0.35">
      <c r="A2085" s="71">
        <f t="shared" si="65"/>
        <v>123643.09999999998</v>
      </c>
      <c r="B2085" s="72">
        <f t="shared" si="64"/>
        <v>-4200</v>
      </c>
      <c r="C2085" s="70">
        <v>2084</v>
      </c>
      <c r="E2085" s="66">
        <v>4200</v>
      </c>
      <c r="F2085" s="85">
        <v>45883</v>
      </c>
      <c r="G2085" s="64" t="s">
        <v>1126</v>
      </c>
      <c r="H2085"/>
      <c r="I2085"/>
    </row>
    <row r="2086" spans="1:9" x14ac:dyDescent="0.35">
      <c r="A2086" s="71">
        <f t="shared" si="65"/>
        <v>123542.09999999998</v>
      </c>
      <c r="B2086" s="72">
        <f t="shared" si="64"/>
        <v>-101</v>
      </c>
      <c r="C2086" s="70">
        <v>2085</v>
      </c>
      <c r="E2086" s="66">
        <v>101</v>
      </c>
      <c r="F2086" s="85">
        <v>45883</v>
      </c>
      <c r="G2086" s="64" t="s">
        <v>1129</v>
      </c>
      <c r="H2086"/>
      <c r="I2086"/>
    </row>
    <row r="2087" spans="1:9" x14ac:dyDescent="0.35">
      <c r="A2087" s="71">
        <f t="shared" si="65"/>
        <v>123471.09999999998</v>
      </c>
      <c r="B2087" s="72">
        <f t="shared" si="64"/>
        <v>-71</v>
      </c>
      <c r="C2087" s="70">
        <v>2086</v>
      </c>
      <c r="E2087" s="66">
        <v>71</v>
      </c>
      <c r="F2087" s="85">
        <v>45883</v>
      </c>
      <c r="G2087" s="64" t="s">
        <v>1140</v>
      </c>
      <c r="H2087"/>
      <c r="I2087"/>
    </row>
    <row r="2088" spans="1:9" x14ac:dyDescent="0.35">
      <c r="A2088" s="71">
        <f t="shared" si="65"/>
        <v>123240.09999999998</v>
      </c>
      <c r="B2088" s="72">
        <f t="shared" si="64"/>
        <v>-231</v>
      </c>
      <c r="C2088" s="70">
        <v>2087</v>
      </c>
      <c r="E2088" s="66">
        <v>231</v>
      </c>
      <c r="F2088" s="85">
        <v>45883</v>
      </c>
      <c r="G2088" s="64" t="s">
        <v>1128</v>
      </c>
      <c r="H2088"/>
      <c r="I2088"/>
    </row>
    <row r="2089" spans="1:9" x14ac:dyDescent="0.35">
      <c r="A2089" s="71">
        <f t="shared" si="65"/>
        <v>122695.09999999998</v>
      </c>
      <c r="B2089" s="72">
        <f t="shared" si="64"/>
        <v>-545</v>
      </c>
      <c r="C2089" s="70">
        <v>2088</v>
      </c>
      <c r="E2089" s="66">
        <v>545</v>
      </c>
      <c r="F2089" s="85">
        <v>45883</v>
      </c>
      <c r="G2089" s="64" t="s">
        <v>1130</v>
      </c>
      <c r="H2089"/>
      <c r="I2089"/>
    </row>
    <row r="2090" spans="1:9" x14ac:dyDescent="0.35">
      <c r="A2090" s="71">
        <f t="shared" si="65"/>
        <v>121975.09999999998</v>
      </c>
      <c r="B2090" s="72">
        <f t="shared" si="64"/>
        <v>-720</v>
      </c>
      <c r="C2090" s="70">
        <v>2089</v>
      </c>
      <c r="E2090" s="66">
        <v>720</v>
      </c>
      <c r="F2090" s="85">
        <v>45883</v>
      </c>
      <c r="G2090" s="64" t="s">
        <v>1127</v>
      </c>
      <c r="H2090"/>
      <c r="I2090"/>
    </row>
    <row r="2091" spans="1:9" x14ac:dyDescent="0.35">
      <c r="A2091" s="71">
        <f t="shared" si="65"/>
        <v>126205.09999999998</v>
      </c>
      <c r="B2091" s="72">
        <f t="shared" si="64"/>
        <v>4230</v>
      </c>
      <c r="C2091" s="70">
        <v>2090</v>
      </c>
      <c r="D2091" s="65">
        <v>4540</v>
      </c>
      <c r="E2091" s="66">
        <v>310</v>
      </c>
      <c r="F2091" s="85">
        <v>45883</v>
      </c>
      <c r="G2091" s="64" t="s">
        <v>33</v>
      </c>
      <c r="H2091"/>
      <c r="I2091"/>
    </row>
    <row r="2092" spans="1:9" x14ac:dyDescent="0.35">
      <c r="A2092" s="71">
        <f t="shared" si="65"/>
        <v>126005.09999999998</v>
      </c>
      <c r="B2092" s="72">
        <f t="shared" si="64"/>
        <v>-200</v>
      </c>
      <c r="C2092" s="70">
        <v>2091</v>
      </c>
      <c r="E2092" s="66">
        <v>200</v>
      </c>
      <c r="F2092" s="85">
        <v>45882</v>
      </c>
      <c r="G2092" s="64" t="s">
        <v>1131</v>
      </c>
      <c r="H2092"/>
      <c r="I2092"/>
    </row>
    <row r="2093" spans="1:9" x14ac:dyDescent="0.35">
      <c r="A2093" s="71">
        <f t="shared" si="65"/>
        <v>125995.09999999998</v>
      </c>
      <c r="B2093" s="72">
        <f t="shared" si="64"/>
        <v>-10</v>
      </c>
      <c r="C2093" s="70">
        <v>2092</v>
      </c>
      <c r="E2093" s="66">
        <v>10</v>
      </c>
      <c r="F2093" s="85">
        <v>45882</v>
      </c>
      <c r="G2093" s="64" t="s">
        <v>1132</v>
      </c>
      <c r="H2093"/>
      <c r="I2093"/>
    </row>
    <row r="2094" spans="1:9" x14ac:dyDescent="0.35">
      <c r="A2094" s="71">
        <f t="shared" si="65"/>
        <v>124715.09999999998</v>
      </c>
      <c r="B2094" s="72">
        <f t="shared" si="64"/>
        <v>-1280</v>
      </c>
      <c r="C2094" s="70">
        <v>2093</v>
      </c>
      <c r="E2094" s="66">
        <v>1280</v>
      </c>
      <c r="F2094" s="85">
        <v>45885</v>
      </c>
      <c r="G2094" s="64" t="s">
        <v>1134</v>
      </c>
      <c r="H2094"/>
      <c r="I2094"/>
    </row>
    <row r="2095" spans="1:9" x14ac:dyDescent="0.35">
      <c r="A2095" s="71">
        <f t="shared" si="65"/>
        <v>124515.09999999998</v>
      </c>
      <c r="B2095" s="72">
        <f t="shared" si="64"/>
        <v>-200</v>
      </c>
      <c r="C2095" s="70">
        <v>2094</v>
      </c>
      <c r="E2095" s="66">
        <v>200</v>
      </c>
      <c r="F2095" s="85">
        <v>45885</v>
      </c>
      <c r="G2095" s="64" t="s">
        <v>1135</v>
      </c>
      <c r="H2095"/>
      <c r="I2095"/>
    </row>
    <row r="2096" spans="1:9" x14ac:dyDescent="0.35">
      <c r="A2096" s="71">
        <f t="shared" si="65"/>
        <v>123715.09999999998</v>
      </c>
      <c r="B2096" s="72">
        <f t="shared" si="64"/>
        <v>-800</v>
      </c>
      <c r="C2096" s="70">
        <v>2095</v>
      </c>
      <c r="D2096" s="65">
        <v>200</v>
      </c>
      <c r="E2096" s="66">
        <v>1000</v>
      </c>
      <c r="F2096" s="85">
        <v>45885</v>
      </c>
      <c r="G2096" s="64" t="s">
        <v>1507</v>
      </c>
      <c r="H2096"/>
      <c r="I2096"/>
    </row>
    <row r="2097" spans="1:9" x14ac:dyDescent="0.35">
      <c r="A2097" s="71">
        <f t="shared" si="65"/>
        <v>121315.09999999998</v>
      </c>
      <c r="B2097" s="72">
        <f t="shared" si="64"/>
        <v>-2400</v>
      </c>
      <c r="C2097" s="70">
        <v>2096</v>
      </c>
      <c r="E2097" s="66">
        <v>2400</v>
      </c>
      <c r="F2097" s="85">
        <v>45885</v>
      </c>
      <c r="G2097" s="64" t="s">
        <v>1136</v>
      </c>
      <c r="H2097"/>
      <c r="I2097"/>
    </row>
    <row r="2098" spans="1:9" x14ac:dyDescent="0.35">
      <c r="A2098" s="71">
        <f t="shared" si="65"/>
        <v>117490.09999999998</v>
      </c>
      <c r="B2098" s="72">
        <f t="shared" si="64"/>
        <v>-3825</v>
      </c>
      <c r="C2098" s="70">
        <v>2097</v>
      </c>
      <c r="E2098" s="66">
        <v>3825</v>
      </c>
      <c r="F2098" s="85">
        <v>45885</v>
      </c>
      <c r="G2098" s="64" t="s">
        <v>1137</v>
      </c>
      <c r="H2098"/>
      <c r="I2098"/>
    </row>
    <row r="2099" spans="1:9" x14ac:dyDescent="0.35">
      <c r="A2099" s="71">
        <f t="shared" si="65"/>
        <v>126615.09999999998</v>
      </c>
      <c r="B2099" s="72">
        <f t="shared" si="64"/>
        <v>9125</v>
      </c>
      <c r="C2099" s="70">
        <v>2098</v>
      </c>
      <c r="D2099" s="65">
        <v>9425</v>
      </c>
      <c r="E2099" s="66">
        <v>300</v>
      </c>
      <c r="F2099" s="85">
        <v>45885</v>
      </c>
      <c r="G2099" s="64" t="s">
        <v>1138</v>
      </c>
      <c r="H2099"/>
      <c r="I2099"/>
    </row>
    <row r="2100" spans="1:9" x14ac:dyDescent="0.35">
      <c r="A2100" s="71">
        <f t="shared" si="65"/>
        <v>128675.09999999998</v>
      </c>
      <c r="B2100" s="72">
        <f t="shared" si="64"/>
        <v>2060</v>
      </c>
      <c r="C2100" s="70">
        <v>2099</v>
      </c>
      <c r="D2100" s="65">
        <v>3915</v>
      </c>
      <c r="E2100" s="66">
        <v>1855</v>
      </c>
      <c r="F2100" s="85">
        <v>45885</v>
      </c>
      <c r="G2100" s="64" t="s">
        <v>1144</v>
      </c>
      <c r="H2100"/>
      <c r="I2100"/>
    </row>
    <row r="2101" spans="1:9" x14ac:dyDescent="0.35">
      <c r="A2101" s="71">
        <f t="shared" si="65"/>
        <v>127675.09999999998</v>
      </c>
      <c r="B2101" s="72">
        <f t="shared" si="64"/>
        <v>-1000</v>
      </c>
      <c r="C2101" s="70">
        <v>2100</v>
      </c>
      <c r="E2101" s="66">
        <v>1000</v>
      </c>
      <c r="F2101" s="85">
        <v>45885</v>
      </c>
      <c r="G2101" s="64" t="s">
        <v>1139</v>
      </c>
      <c r="H2101"/>
      <c r="I2101"/>
    </row>
    <row r="2102" spans="1:9" x14ac:dyDescent="0.35">
      <c r="A2102" s="71">
        <f t="shared" si="65"/>
        <v>127225.09999999998</v>
      </c>
      <c r="B2102" s="72">
        <f t="shared" si="64"/>
        <v>-450</v>
      </c>
      <c r="C2102" s="70">
        <v>2101</v>
      </c>
      <c r="E2102" s="66">
        <v>450</v>
      </c>
      <c r="F2102" s="85">
        <v>45886</v>
      </c>
      <c r="G2102" s="64" t="s">
        <v>1141</v>
      </c>
      <c r="H2102"/>
      <c r="I2102"/>
    </row>
    <row r="2103" spans="1:9" x14ac:dyDescent="0.35">
      <c r="A2103" s="71">
        <f t="shared" si="65"/>
        <v>94225.099999999977</v>
      </c>
      <c r="B2103" s="72">
        <f t="shared" si="64"/>
        <v>-33000</v>
      </c>
      <c r="C2103" s="70">
        <v>2102</v>
      </c>
      <c r="E2103" s="66">
        <v>33000</v>
      </c>
      <c r="F2103" s="85">
        <v>45886</v>
      </c>
      <c r="G2103" s="64" t="s">
        <v>1142</v>
      </c>
      <c r="H2103"/>
      <c r="I2103"/>
    </row>
    <row r="2104" spans="1:9" x14ac:dyDescent="0.35">
      <c r="A2104" s="71">
        <f t="shared" si="65"/>
        <v>90225.099999999977</v>
      </c>
      <c r="B2104" s="72">
        <f t="shared" si="64"/>
        <v>-4000</v>
      </c>
      <c r="C2104" s="70">
        <v>2103</v>
      </c>
      <c r="E2104" s="66">
        <v>4000</v>
      </c>
      <c r="F2104" s="85">
        <v>45886</v>
      </c>
      <c r="G2104" s="64" t="s">
        <v>1145</v>
      </c>
      <c r="H2104"/>
      <c r="I2104"/>
    </row>
    <row r="2105" spans="1:9" x14ac:dyDescent="0.35">
      <c r="A2105" s="71">
        <f t="shared" si="65"/>
        <v>89775.099999999977</v>
      </c>
      <c r="B2105" s="72">
        <f t="shared" si="64"/>
        <v>-450</v>
      </c>
      <c r="C2105" s="70">
        <v>2104</v>
      </c>
      <c r="E2105" s="66">
        <v>450</v>
      </c>
      <c r="F2105" s="85">
        <v>45886</v>
      </c>
      <c r="G2105" s="64" t="s">
        <v>1143</v>
      </c>
      <c r="H2105"/>
      <c r="I2105"/>
    </row>
    <row r="2106" spans="1:9" x14ac:dyDescent="0.35">
      <c r="A2106" s="71">
        <f t="shared" si="65"/>
        <v>120925.09999999998</v>
      </c>
      <c r="B2106" s="72">
        <f t="shared" si="64"/>
        <v>31150</v>
      </c>
      <c r="C2106" s="70">
        <v>2105</v>
      </c>
      <c r="D2106" s="65">
        <v>36150</v>
      </c>
      <c r="E2106" s="66">
        <v>5000</v>
      </c>
      <c r="F2106" s="85">
        <v>45886</v>
      </c>
      <c r="G2106" s="64" t="s">
        <v>1266</v>
      </c>
      <c r="H2106"/>
      <c r="I2106"/>
    </row>
    <row r="2107" spans="1:9" x14ac:dyDescent="0.35">
      <c r="A2107" s="71">
        <f t="shared" si="65"/>
        <v>120705.09999999998</v>
      </c>
      <c r="B2107" s="72">
        <f t="shared" si="64"/>
        <v>-220</v>
      </c>
      <c r="C2107" s="70">
        <v>2106</v>
      </c>
      <c r="E2107" s="66">
        <v>220</v>
      </c>
      <c r="F2107" s="85">
        <v>45886</v>
      </c>
      <c r="G2107" s="64" t="s">
        <v>366</v>
      </c>
      <c r="H2107"/>
      <c r="I2107"/>
    </row>
    <row r="2108" spans="1:9" x14ac:dyDescent="0.35">
      <c r="A2108" s="71">
        <f t="shared" si="65"/>
        <v>120635.09999999998</v>
      </c>
      <c r="B2108" s="72">
        <f t="shared" si="64"/>
        <v>-70</v>
      </c>
      <c r="C2108" s="70">
        <v>2107</v>
      </c>
      <c r="E2108" s="66">
        <v>70</v>
      </c>
      <c r="F2108" s="85">
        <v>45886</v>
      </c>
      <c r="G2108" s="64" t="s">
        <v>1146</v>
      </c>
      <c r="H2108"/>
      <c r="I2108"/>
    </row>
    <row r="2109" spans="1:9" x14ac:dyDescent="0.35">
      <c r="A2109" s="71">
        <f t="shared" si="65"/>
        <v>120535.09999999998</v>
      </c>
      <c r="B2109" s="72">
        <f t="shared" si="64"/>
        <v>-100</v>
      </c>
      <c r="C2109" s="70">
        <v>2108</v>
      </c>
      <c r="E2109" s="66">
        <v>100</v>
      </c>
      <c r="F2109" s="85">
        <v>45886</v>
      </c>
      <c r="G2109" s="64" t="s">
        <v>1069</v>
      </c>
      <c r="H2109"/>
      <c r="I2109"/>
    </row>
    <row r="2110" spans="1:9" x14ac:dyDescent="0.35">
      <c r="A2110" s="71">
        <f t="shared" si="65"/>
        <v>120135.09999999998</v>
      </c>
      <c r="B2110" s="72">
        <f t="shared" si="64"/>
        <v>-400</v>
      </c>
      <c r="C2110" s="70">
        <v>2109</v>
      </c>
      <c r="E2110" s="66">
        <v>400</v>
      </c>
      <c r="F2110" s="85">
        <v>45886</v>
      </c>
      <c r="G2110" s="64" t="s">
        <v>1043</v>
      </c>
      <c r="H2110"/>
      <c r="I2110"/>
    </row>
    <row r="2111" spans="1:9" x14ac:dyDescent="0.35">
      <c r="A2111" s="71">
        <f t="shared" si="65"/>
        <v>120060.09999999998</v>
      </c>
      <c r="B2111" s="72">
        <f t="shared" si="64"/>
        <v>-75</v>
      </c>
      <c r="C2111" s="70">
        <v>2110</v>
      </c>
      <c r="E2111" s="66">
        <v>75</v>
      </c>
      <c r="F2111" s="85">
        <v>45887</v>
      </c>
      <c r="G2111" s="64" t="s">
        <v>99</v>
      </c>
      <c r="H2111"/>
      <c r="I2111"/>
    </row>
    <row r="2112" spans="1:9" x14ac:dyDescent="0.35">
      <c r="A2112" s="71">
        <f t="shared" si="65"/>
        <v>117560.09999999998</v>
      </c>
      <c r="B2112" s="72">
        <f t="shared" si="64"/>
        <v>-2500</v>
      </c>
      <c r="C2112" s="70">
        <v>2111</v>
      </c>
      <c r="E2112" s="66">
        <v>2500</v>
      </c>
      <c r="F2112" s="85">
        <v>45887</v>
      </c>
      <c r="G2112" s="64" t="s">
        <v>1147</v>
      </c>
      <c r="H2112"/>
      <c r="I2112"/>
    </row>
    <row r="2113" spans="1:9" x14ac:dyDescent="0.35">
      <c r="A2113" s="71">
        <f t="shared" si="65"/>
        <v>122860.09999999998</v>
      </c>
      <c r="B2113" s="72">
        <f t="shared" si="64"/>
        <v>5300</v>
      </c>
      <c r="C2113" s="70">
        <v>2112</v>
      </c>
      <c r="D2113" s="65">
        <v>8050</v>
      </c>
      <c r="E2113" s="66">
        <v>2750</v>
      </c>
      <c r="F2113" s="85">
        <v>45887</v>
      </c>
      <c r="G2113" s="64" t="s">
        <v>1149</v>
      </c>
      <c r="H2113"/>
      <c r="I2113"/>
    </row>
    <row r="2114" spans="1:9" x14ac:dyDescent="0.35">
      <c r="A2114" s="71">
        <f t="shared" si="65"/>
        <v>122705.09999999998</v>
      </c>
      <c r="B2114" s="72">
        <f t="shared" si="64"/>
        <v>-155</v>
      </c>
      <c r="C2114" s="70">
        <v>2113</v>
      </c>
      <c r="E2114" s="66">
        <v>155</v>
      </c>
      <c r="F2114" s="85">
        <v>45887</v>
      </c>
      <c r="G2114" s="64" t="s">
        <v>1148</v>
      </c>
      <c r="H2114"/>
      <c r="I2114"/>
    </row>
    <row r="2115" spans="1:9" x14ac:dyDescent="0.35">
      <c r="A2115" s="71">
        <f t="shared" si="65"/>
        <v>122505.09999999998</v>
      </c>
      <c r="B2115" s="72">
        <f t="shared" ref="B2115:B2178" si="66">SUM(D2115-E2115)</f>
        <v>-200</v>
      </c>
      <c r="C2115" s="70">
        <v>2114</v>
      </c>
      <c r="E2115" s="66">
        <v>200</v>
      </c>
      <c r="F2115" s="85">
        <v>45887</v>
      </c>
      <c r="G2115" s="64" t="s">
        <v>752</v>
      </c>
      <c r="H2115"/>
      <c r="I2115"/>
    </row>
    <row r="2116" spans="1:9" x14ac:dyDescent="0.35">
      <c r="A2116" s="71">
        <f t="shared" ref="A2116:A2179" si="67">SUM(A2115+B2116)</f>
        <v>163550.09999999998</v>
      </c>
      <c r="B2116" s="72">
        <f t="shared" si="66"/>
        <v>41045</v>
      </c>
      <c r="C2116" s="70">
        <v>2115</v>
      </c>
      <c r="D2116" s="65">
        <v>41270</v>
      </c>
      <c r="E2116" s="66">
        <v>225</v>
      </c>
      <c r="F2116" s="85">
        <v>45888</v>
      </c>
      <c r="G2116" s="64" t="s">
        <v>1152</v>
      </c>
      <c r="H2116"/>
      <c r="I2116"/>
    </row>
    <row r="2117" spans="1:9" x14ac:dyDescent="0.35">
      <c r="A2117" s="71">
        <f t="shared" si="67"/>
        <v>161670.09999999998</v>
      </c>
      <c r="B2117" s="72">
        <f t="shared" si="66"/>
        <v>-1880</v>
      </c>
      <c r="C2117" s="70">
        <v>2116</v>
      </c>
      <c r="E2117" s="66">
        <v>1880</v>
      </c>
      <c r="F2117" s="85">
        <v>45888</v>
      </c>
      <c r="G2117" s="64" t="s">
        <v>1150</v>
      </c>
      <c r="H2117"/>
      <c r="I2117"/>
    </row>
    <row r="2118" spans="1:9" x14ac:dyDescent="0.35">
      <c r="A2118" s="71">
        <f t="shared" si="67"/>
        <v>161440.09999999998</v>
      </c>
      <c r="B2118" s="72">
        <f t="shared" si="66"/>
        <v>-230</v>
      </c>
      <c r="C2118" s="70">
        <v>2117</v>
      </c>
      <c r="E2118" s="66">
        <v>230</v>
      </c>
      <c r="F2118" s="85">
        <v>45888</v>
      </c>
      <c r="G2118" s="64" t="s">
        <v>252</v>
      </c>
      <c r="H2118"/>
      <c r="I2118"/>
    </row>
    <row r="2119" spans="1:9" x14ac:dyDescent="0.35">
      <c r="A2119" s="71">
        <f t="shared" si="67"/>
        <v>161370.09999999998</v>
      </c>
      <c r="B2119" s="72">
        <f t="shared" si="66"/>
        <v>-70</v>
      </c>
      <c r="C2119" s="70">
        <v>2118</v>
      </c>
      <c r="E2119" s="66">
        <v>70</v>
      </c>
      <c r="F2119" s="85">
        <v>45888</v>
      </c>
      <c r="G2119" s="64" t="s">
        <v>2</v>
      </c>
      <c r="H2119"/>
      <c r="I2119"/>
    </row>
    <row r="2120" spans="1:9" x14ac:dyDescent="0.35">
      <c r="A2120" s="71">
        <f t="shared" si="67"/>
        <v>161470.09999999998</v>
      </c>
      <c r="B2120" s="72">
        <f t="shared" si="66"/>
        <v>100</v>
      </c>
      <c r="C2120" s="70">
        <v>2119</v>
      </c>
      <c r="D2120" s="65">
        <v>100</v>
      </c>
      <c r="F2120" s="85">
        <v>45888</v>
      </c>
      <c r="G2120" s="64" t="s">
        <v>1153</v>
      </c>
      <c r="H2120"/>
      <c r="I2120"/>
    </row>
    <row r="2121" spans="1:9" x14ac:dyDescent="0.35">
      <c r="A2121" s="71">
        <f t="shared" si="67"/>
        <v>146470.09999999998</v>
      </c>
      <c r="B2121" s="72">
        <f t="shared" si="66"/>
        <v>-15000</v>
      </c>
      <c r="C2121" s="70">
        <v>2120</v>
      </c>
      <c r="E2121" s="66">
        <v>15000</v>
      </c>
      <c r="F2121" s="85">
        <v>45888</v>
      </c>
      <c r="G2121" s="64" t="s">
        <v>1151</v>
      </c>
      <c r="H2121"/>
      <c r="I2121"/>
    </row>
    <row r="2122" spans="1:9" x14ac:dyDescent="0.35">
      <c r="A2122" s="71">
        <f t="shared" si="67"/>
        <v>116220.09999999998</v>
      </c>
      <c r="B2122" s="72">
        <f t="shared" si="66"/>
        <v>-30250</v>
      </c>
      <c r="C2122" s="70">
        <v>2121</v>
      </c>
      <c r="E2122" s="66">
        <v>30250</v>
      </c>
      <c r="F2122" s="85">
        <v>45888</v>
      </c>
      <c r="G2122" s="64" t="s">
        <v>13</v>
      </c>
      <c r="H2122"/>
      <c r="I2122"/>
    </row>
    <row r="2123" spans="1:9" x14ac:dyDescent="0.35">
      <c r="A2123" s="71">
        <f t="shared" si="67"/>
        <v>116054.09999999998</v>
      </c>
      <c r="B2123" s="72">
        <f t="shared" si="66"/>
        <v>-166</v>
      </c>
      <c r="C2123" s="70">
        <v>2122</v>
      </c>
      <c r="E2123" s="66">
        <v>166</v>
      </c>
      <c r="F2123" s="85">
        <v>45888</v>
      </c>
      <c r="G2123" s="64" t="s">
        <v>65</v>
      </c>
      <c r="H2123"/>
      <c r="I2123"/>
    </row>
    <row r="2124" spans="1:9" x14ac:dyDescent="0.35">
      <c r="A2124" s="71">
        <f t="shared" si="67"/>
        <v>143654.09999999998</v>
      </c>
      <c r="B2124" s="72">
        <f t="shared" si="66"/>
        <v>27600</v>
      </c>
      <c r="C2124" s="70">
        <v>2123</v>
      </c>
      <c r="D2124" s="65">
        <v>27600</v>
      </c>
      <c r="F2124" s="85">
        <v>45889</v>
      </c>
      <c r="G2124" s="64" t="s">
        <v>12</v>
      </c>
      <c r="H2124"/>
      <c r="I2124"/>
    </row>
    <row r="2125" spans="1:9" x14ac:dyDescent="0.35">
      <c r="A2125" s="71">
        <f t="shared" si="67"/>
        <v>143194.09999999998</v>
      </c>
      <c r="B2125" s="72">
        <f t="shared" si="66"/>
        <v>-460</v>
      </c>
      <c r="C2125" s="70">
        <v>2124</v>
      </c>
      <c r="E2125" s="66">
        <v>460</v>
      </c>
      <c r="F2125" s="85">
        <v>45889</v>
      </c>
      <c r="G2125" s="64" t="s">
        <v>805</v>
      </c>
      <c r="H2125"/>
      <c r="I2125"/>
    </row>
    <row r="2126" spans="1:9" x14ac:dyDescent="0.35">
      <c r="A2126" s="71">
        <f t="shared" si="67"/>
        <v>142944.09999999998</v>
      </c>
      <c r="B2126" s="72">
        <f t="shared" si="66"/>
        <v>-250</v>
      </c>
      <c r="C2126" s="70">
        <v>2125</v>
      </c>
      <c r="E2126" s="66">
        <v>250</v>
      </c>
      <c r="F2126" s="85">
        <v>45889</v>
      </c>
      <c r="G2126" s="64" t="s">
        <v>64</v>
      </c>
      <c r="H2126"/>
      <c r="I2126"/>
    </row>
    <row r="2127" spans="1:9" x14ac:dyDescent="0.35">
      <c r="A2127" s="71">
        <f t="shared" si="67"/>
        <v>142844.09999999998</v>
      </c>
      <c r="B2127" s="72">
        <f t="shared" si="66"/>
        <v>-100</v>
      </c>
      <c r="C2127" s="70">
        <v>2126</v>
      </c>
      <c r="E2127" s="66">
        <v>100</v>
      </c>
      <c r="F2127" s="85">
        <v>45889</v>
      </c>
      <c r="G2127" s="64" t="s">
        <v>1155</v>
      </c>
      <c r="H2127"/>
      <c r="I2127"/>
    </row>
    <row r="2128" spans="1:9" x14ac:dyDescent="0.35">
      <c r="A2128" s="71">
        <f t="shared" si="67"/>
        <v>141694.09999999998</v>
      </c>
      <c r="B2128" s="72">
        <f t="shared" si="66"/>
        <v>-1150</v>
      </c>
      <c r="C2128" s="70">
        <v>2127</v>
      </c>
      <c r="E2128" s="66">
        <v>1150</v>
      </c>
      <c r="F2128" s="85">
        <v>45889</v>
      </c>
      <c r="G2128" s="64" t="s">
        <v>366</v>
      </c>
      <c r="H2128"/>
      <c r="I2128"/>
    </row>
    <row r="2129" spans="1:9" x14ac:dyDescent="0.35">
      <c r="A2129" s="71">
        <f t="shared" si="67"/>
        <v>141794.09999999998</v>
      </c>
      <c r="B2129" s="72">
        <f t="shared" si="66"/>
        <v>100</v>
      </c>
      <c r="C2129" s="70">
        <v>2128</v>
      </c>
      <c r="D2129" s="65">
        <v>100</v>
      </c>
      <c r="F2129" s="85">
        <v>45889</v>
      </c>
      <c r="G2129" s="64" t="s">
        <v>1154</v>
      </c>
      <c r="H2129"/>
      <c r="I2129"/>
    </row>
    <row r="2130" spans="1:9" x14ac:dyDescent="0.35">
      <c r="A2130" s="71">
        <f t="shared" si="67"/>
        <v>141444.09999999998</v>
      </c>
      <c r="B2130" s="72">
        <f t="shared" si="66"/>
        <v>-350</v>
      </c>
      <c r="C2130" s="70">
        <v>2129</v>
      </c>
      <c r="E2130" s="66">
        <v>350</v>
      </c>
      <c r="F2130" s="85">
        <v>45889</v>
      </c>
      <c r="G2130" s="64" t="s">
        <v>1156</v>
      </c>
      <c r="H2130"/>
      <c r="I2130"/>
    </row>
    <row r="2131" spans="1:9" x14ac:dyDescent="0.35">
      <c r="A2131" s="71">
        <f t="shared" si="67"/>
        <v>142869.09999999998</v>
      </c>
      <c r="B2131" s="72">
        <f t="shared" si="66"/>
        <v>1425</v>
      </c>
      <c r="C2131" s="70">
        <v>2130</v>
      </c>
      <c r="D2131" s="65">
        <v>1935</v>
      </c>
      <c r="E2131" s="66">
        <v>510</v>
      </c>
      <c r="F2131" s="85">
        <v>45889</v>
      </c>
      <c r="G2131" s="64" t="s">
        <v>1158</v>
      </c>
      <c r="H2131"/>
      <c r="I2131"/>
    </row>
    <row r="2132" spans="1:9" x14ac:dyDescent="0.35">
      <c r="A2132" s="71">
        <f t="shared" si="67"/>
        <v>138869.09999999998</v>
      </c>
      <c r="B2132" s="72">
        <f t="shared" si="66"/>
        <v>-4000</v>
      </c>
      <c r="C2132" s="70">
        <v>2131</v>
      </c>
      <c r="E2132" s="66">
        <v>4000</v>
      </c>
      <c r="F2132" s="85">
        <v>45890</v>
      </c>
      <c r="G2132" s="64" t="s">
        <v>1157</v>
      </c>
      <c r="H2132"/>
      <c r="I2132"/>
    </row>
    <row r="2133" spans="1:9" x14ac:dyDescent="0.35">
      <c r="A2133" s="71">
        <f t="shared" si="67"/>
        <v>145794.09999999998</v>
      </c>
      <c r="B2133" s="72">
        <f t="shared" si="66"/>
        <v>6925</v>
      </c>
      <c r="C2133" s="70">
        <v>2132</v>
      </c>
      <c r="D2133" s="65">
        <v>6930</v>
      </c>
      <c r="E2133" s="66">
        <v>5</v>
      </c>
      <c r="F2133" s="85">
        <v>45892</v>
      </c>
      <c r="G2133" s="64" t="s">
        <v>1160</v>
      </c>
      <c r="H2133"/>
      <c r="I2133"/>
    </row>
    <row r="2134" spans="1:9" x14ac:dyDescent="0.35">
      <c r="A2134" s="71">
        <f t="shared" si="67"/>
        <v>145094.09999999998</v>
      </c>
      <c r="B2134" s="72">
        <f t="shared" si="66"/>
        <v>-700</v>
      </c>
      <c r="C2134" s="70">
        <v>2133</v>
      </c>
      <c r="E2134" s="66">
        <v>700</v>
      </c>
      <c r="F2134" s="85">
        <v>45892</v>
      </c>
      <c r="G2134" s="64" t="s">
        <v>1159</v>
      </c>
      <c r="H2134"/>
      <c r="I2134"/>
    </row>
    <row r="2135" spans="1:9" x14ac:dyDescent="0.35">
      <c r="A2135" s="71">
        <f t="shared" si="67"/>
        <v>144344.09999999998</v>
      </c>
      <c r="B2135" s="72">
        <f t="shared" si="66"/>
        <v>-750</v>
      </c>
      <c r="C2135" s="70">
        <v>2134</v>
      </c>
      <c r="E2135" s="66">
        <v>750</v>
      </c>
      <c r="F2135" s="85">
        <v>45892</v>
      </c>
      <c r="G2135" s="64" t="s">
        <v>1161</v>
      </c>
      <c r="H2135"/>
      <c r="I2135"/>
    </row>
    <row r="2136" spans="1:9" x14ac:dyDescent="0.35">
      <c r="A2136" s="71">
        <f t="shared" si="67"/>
        <v>144044.09999999998</v>
      </c>
      <c r="B2136" s="72">
        <f t="shared" si="66"/>
        <v>-300</v>
      </c>
      <c r="C2136" s="70">
        <v>2135</v>
      </c>
      <c r="E2136" s="66">
        <v>300</v>
      </c>
      <c r="F2136" s="85">
        <v>45893</v>
      </c>
      <c r="G2136" s="64" t="s">
        <v>1162</v>
      </c>
      <c r="H2136"/>
      <c r="I2136"/>
    </row>
    <row r="2137" spans="1:9" x14ac:dyDescent="0.35">
      <c r="A2137" s="71">
        <f t="shared" si="67"/>
        <v>177534.09999999998</v>
      </c>
      <c r="B2137" s="72">
        <f t="shared" si="66"/>
        <v>33490</v>
      </c>
      <c r="C2137" s="70">
        <v>2136</v>
      </c>
      <c r="D2137" s="65">
        <v>33490</v>
      </c>
      <c r="F2137" s="85">
        <v>45893</v>
      </c>
      <c r="G2137" s="64" t="s">
        <v>466</v>
      </c>
      <c r="H2137"/>
      <c r="I2137"/>
    </row>
    <row r="2138" spans="1:9" x14ac:dyDescent="0.35">
      <c r="A2138" s="71">
        <f t="shared" si="67"/>
        <v>177534.09999999998</v>
      </c>
      <c r="B2138" s="72">
        <f t="shared" si="66"/>
        <v>0</v>
      </c>
      <c r="C2138" s="70">
        <v>2137</v>
      </c>
      <c r="D2138" s="65">
        <v>10000</v>
      </c>
      <c r="E2138" s="66">
        <v>10000</v>
      </c>
      <c r="F2138" s="85">
        <v>45893</v>
      </c>
      <c r="G2138" s="64" t="s">
        <v>1230</v>
      </c>
      <c r="H2138"/>
      <c r="I2138"/>
    </row>
    <row r="2139" spans="1:9" x14ac:dyDescent="0.35">
      <c r="A2139" s="71">
        <f t="shared" si="67"/>
        <v>177084.09999999998</v>
      </c>
      <c r="B2139" s="72">
        <f t="shared" si="66"/>
        <v>-450</v>
      </c>
      <c r="C2139" s="70">
        <v>2138</v>
      </c>
      <c r="E2139" s="66">
        <v>450</v>
      </c>
      <c r="F2139" s="85">
        <v>45893</v>
      </c>
      <c r="G2139" s="64" t="s">
        <v>1043</v>
      </c>
      <c r="H2139"/>
      <c r="I2139"/>
    </row>
    <row r="2140" spans="1:9" x14ac:dyDescent="0.35">
      <c r="A2140" s="71">
        <f t="shared" si="67"/>
        <v>175054.09999999998</v>
      </c>
      <c r="B2140" s="72">
        <f t="shared" si="66"/>
        <v>-2030</v>
      </c>
      <c r="C2140" s="70">
        <v>2139</v>
      </c>
      <c r="E2140" s="66">
        <v>2030</v>
      </c>
      <c r="F2140" s="85">
        <v>45893</v>
      </c>
      <c r="G2140" s="64" t="s">
        <v>64</v>
      </c>
      <c r="H2140"/>
      <c r="I2140"/>
    </row>
    <row r="2141" spans="1:9" x14ac:dyDescent="0.35">
      <c r="A2141" s="71">
        <f t="shared" si="67"/>
        <v>174569.09999999998</v>
      </c>
      <c r="B2141" s="72">
        <f t="shared" si="66"/>
        <v>-485</v>
      </c>
      <c r="C2141" s="70">
        <v>2140</v>
      </c>
      <c r="E2141" s="66">
        <v>485</v>
      </c>
      <c r="F2141" s="85">
        <v>45893</v>
      </c>
      <c r="G2141" s="64" t="s">
        <v>1163</v>
      </c>
      <c r="H2141"/>
      <c r="I2141"/>
    </row>
    <row r="2142" spans="1:9" x14ac:dyDescent="0.35">
      <c r="A2142" s="71">
        <f t="shared" si="67"/>
        <v>174519.09999999998</v>
      </c>
      <c r="B2142" s="72">
        <f t="shared" si="66"/>
        <v>-50</v>
      </c>
      <c r="C2142" s="70">
        <v>2141</v>
      </c>
      <c r="E2142" s="66">
        <v>50</v>
      </c>
      <c r="F2142" s="85">
        <v>45893</v>
      </c>
      <c r="G2142" s="64" t="s">
        <v>1164</v>
      </c>
      <c r="H2142"/>
      <c r="I2142"/>
    </row>
    <row r="2143" spans="1:9" x14ac:dyDescent="0.35">
      <c r="A2143" s="71">
        <f t="shared" si="67"/>
        <v>174419.09999999998</v>
      </c>
      <c r="B2143" s="72">
        <f t="shared" si="66"/>
        <v>-100</v>
      </c>
      <c r="C2143" s="70">
        <v>2142</v>
      </c>
      <c r="E2143" s="66">
        <v>100</v>
      </c>
      <c r="F2143" s="85">
        <v>45893</v>
      </c>
      <c r="G2143" s="64" t="s">
        <v>332</v>
      </c>
      <c r="H2143"/>
      <c r="I2143"/>
    </row>
    <row r="2144" spans="1:9" x14ac:dyDescent="0.35">
      <c r="A2144" s="71">
        <f t="shared" si="67"/>
        <v>174419.09999999998</v>
      </c>
      <c r="B2144" s="72">
        <f t="shared" si="66"/>
        <v>0</v>
      </c>
      <c r="C2144" s="70">
        <v>2143</v>
      </c>
      <c r="D2144" s="65">
        <v>19685</v>
      </c>
      <c r="E2144" s="66">
        <v>19685</v>
      </c>
      <c r="F2144" s="85">
        <v>45894</v>
      </c>
      <c r="G2144" s="64" t="s">
        <v>1229</v>
      </c>
      <c r="H2144"/>
      <c r="I2144"/>
    </row>
    <row r="2145" spans="1:9" x14ac:dyDescent="0.35">
      <c r="A2145" s="71">
        <f t="shared" si="67"/>
        <v>174019.09999999998</v>
      </c>
      <c r="B2145" s="72">
        <f t="shared" si="66"/>
        <v>-400</v>
      </c>
      <c r="C2145" s="70">
        <v>2144</v>
      </c>
      <c r="E2145" s="66">
        <v>400</v>
      </c>
      <c r="F2145" s="85">
        <v>45894</v>
      </c>
      <c r="G2145" s="64" t="s">
        <v>990</v>
      </c>
      <c r="H2145"/>
      <c r="I2145"/>
    </row>
    <row r="2146" spans="1:9" x14ac:dyDescent="0.35">
      <c r="A2146" s="71">
        <f t="shared" si="67"/>
        <v>174019.09999999998</v>
      </c>
      <c r="B2146" s="72">
        <f t="shared" si="66"/>
        <v>0</v>
      </c>
      <c r="C2146" s="70">
        <v>2145</v>
      </c>
      <c r="D2146" s="65">
        <v>1000</v>
      </c>
      <c r="E2146" s="66">
        <v>1000</v>
      </c>
      <c r="F2146" s="85">
        <v>45894</v>
      </c>
      <c r="G2146" s="64" t="s">
        <v>1247</v>
      </c>
      <c r="H2146"/>
      <c r="I2146"/>
    </row>
    <row r="2147" spans="1:9" x14ac:dyDescent="0.35">
      <c r="A2147" s="71">
        <f t="shared" si="67"/>
        <v>179429.09999999998</v>
      </c>
      <c r="B2147" s="72">
        <f t="shared" si="66"/>
        <v>5410</v>
      </c>
      <c r="C2147" s="70">
        <v>2146</v>
      </c>
      <c r="D2147" s="65">
        <v>5910</v>
      </c>
      <c r="E2147" s="66">
        <v>500</v>
      </c>
      <c r="F2147" s="85">
        <v>45894</v>
      </c>
      <c r="G2147" s="64" t="s">
        <v>752</v>
      </c>
      <c r="H2147"/>
      <c r="I2147"/>
    </row>
    <row r="2148" spans="1:9" x14ac:dyDescent="0.35">
      <c r="A2148" s="71">
        <f t="shared" si="67"/>
        <v>179429.09999999998</v>
      </c>
      <c r="B2148" s="72">
        <f t="shared" si="66"/>
        <v>0</v>
      </c>
      <c r="C2148" s="70">
        <v>2147</v>
      </c>
      <c r="D2148" s="65">
        <v>700</v>
      </c>
      <c r="E2148" s="66">
        <v>700</v>
      </c>
      <c r="F2148" s="85">
        <v>45894</v>
      </c>
      <c r="G2148" s="64" t="s">
        <v>1074</v>
      </c>
      <c r="H2148"/>
      <c r="I2148"/>
    </row>
    <row r="2149" spans="1:9" x14ac:dyDescent="0.35">
      <c r="A2149" s="71">
        <f t="shared" si="67"/>
        <v>178879.09999999998</v>
      </c>
      <c r="B2149" s="72">
        <f t="shared" si="66"/>
        <v>-550</v>
      </c>
      <c r="C2149" s="70">
        <v>2148</v>
      </c>
      <c r="E2149" s="66">
        <v>550</v>
      </c>
      <c r="F2149" s="85">
        <v>45894</v>
      </c>
      <c r="G2149" s="64" t="s">
        <v>1107</v>
      </c>
      <c r="H2149"/>
      <c r="I2149"/>
    </row>
    <row r="2150" spans="1:9" x14ac:dyDescent="0.35">
      <c r="A2150" s="71">
        <f t="shared" si="67"/>
        <v>178879.09999999998</v>
      </c>
      <c r="B2150" s="72">
        <f t="shared" si="66"/>
        <v>0</v>
      </c>
      <c r="C2150" s="70">
        <v>2149</v>
      </c>
      <c r="D2150" s="65">
        <v>720</v>
      </c>
      <c r="E2150" s="66">
        <v>720</v>
      </c>
      <c r="F2150" s="85">
        <v>45894</v>
      </c>
      <c r="G2150" s="64" t="s">
        <v>410</v>
      </c>
      <c r="H2150"/>
      <c r="I2150"/>
    </row>
    <row r="2151" spans="1:9" x14ac:dyDescent="0.35">
      <c r="A2151" s="71">
        <f t="shared" si="67"/>
        <v>178859.09999999998</v>
      </c>
      <c r="B2151" s="72">
        <f t="shared" si="66"/>
        <v>-20</v>
      </c>
      <c r="C2151" s="70">
        <v>2150</v>
      </c>
      <c r="E2151" s="66">
        <v>20</v>
      </c>
      <c r="F2151" s="85">
        <v>45894</v>
      </c>
      <c r="G2151" s="64" t="s">
        <v>296</v>
      </c>
      <c r="H2151"/>
      <c r="I2151"/>
    </row>
    <row r="2152" spans="1:9" x14ac:dyDescent="0.35">
      <c r="A2152" s="71">
        <f t="shared" si="67"/>
        <v>178859.09999999998</v>
      </c>
      <c r="B2152" s="72">
        <f t="shared" si="66"/>
        <v>0</v>
      </c>
      <c r="C2152" s="70">
        <v>2151</v>
      </c>
      <c r="D2152" s="65">
        <v>1000</v>
      </c>
      <c r="E2152" s="66">
        <v>1000</v>
      </c>
      <c r="F2152" s="85">
        <v>45896</v>
      </c>
      <c r="G2152" s="64" t="s">
        <v>1272</v>
      </c>
      <c r="H2152"/>
      <c r="I2152"/>
    </row>
    <row r="2153" spans="1:9" x14ac:dyDescent="0.35">
      <c r="A2153" s="71">
        <f t="shared" si="67"/>
        <v>176459.09999999998</v>
      </c>
      <c r="B2153" s="72">
        <f t="shared" si="66"/>
        <v>-2400</v>
      </c>
      <c r="C2153" s="70">
        <v>2152</v>
      </c>
      <c r="E2153" s="66">
        <v>2400</v>
      </c>
      <c r="F2153" s="85">
        <v>45896</v>
      </c>
      <c r="G2153" s="64" t="s">
        <v>1085</v>
      </c>
      <c r="H2153"/>
      <c r="I2153"/>
    </row>
    <row r="2154" spans="1:9" x14ac:dyDescent="0.35">
      <c r="A2154" s="71">
        <f t="shared" si="67"/>
        <v>176459.09999999998</v>
      </c>
      <c r="B2154" s="72">
        <f t="shared" si="66"/>
        <v>0</v>
      </c>
      <c r="C2154" s="70">
        <v>2153</v>
      </c>
      <c r="D2154" s="65">
        <v>1000</v>
      </c>
      <c r="E2154" s="66">
        <v>1000</v>
      </c>
      <c r="F2154" s="85">
        <v>45896</v>
      </c>
      <c r="G2154" s="64" t="s">
        <v>1082</v>
      </c>
      <c r="H2154"/>
      <c r="I2154"/>
    </row>
    <row r="2155" spans="1:9" x14ac:dyDescent="0.35">
      <c r="A2155" s="71">
        <f t="shared" si="67"/>
        <v>236822.09999999998</v>
      </c>
      <c r="B2155" s="72">
        <f t="shared" si="66"/>
        <v>60363</v>
      </c>
      <c r="C2155" s="70">
        <v>2154</v>
      </c>
      <c r="D2155" s="65">
        <v>60455</v>
      </c>
      <c r="E2155" s="66">
        <v>92</v>
      </c>
      <c r="F2155" s="85">
        <v>45896</v>
      </c>
      <c r="G2155" s="64" t="s">
        <v>99</v>
      </c>
      <c r="H2155"/>
      <c r="I2155"/>
    </row>
    <row r="2156" spans="1:9" x14ac:dyDescent="0.35">
      <c r="A2156" s="71">
        <f t="shared" si="67"/>
        <v>236772.09999999998</v>
      </c>
      <c r="B2156" s="72">
        <f t="shared" si="66"/>
        <v>-50</v>
      </c>
      <c r="C2156" s="70">
        <v>2155</v>
      </c>
      <c r="E2156" s="66">
        <v>50</v>
      </c>
      <c r="F2156" s="85">
        <v>45896</v>
      </c>
      <c r="G2156" s="64" t="s">
        <v>865</v>
      </c>
      <c r="H2156"/>
      <c r="I2156"/>
    </row>
    <row r="2157" spans="1:9" x14ac:dyDescent="0.35">
      <c r="A2157" s="71">
        <f t="shared" si="67"/>
        <v>236622.09999999998</v>
      </c>
      <c r="B2157" s="72">
        <f t="shared" si="66"/>
        <v>-150</v>
      </c>
      <c r="C2157" s="70">
        <v>2156</v>
      </c>
      <c r="E2157" s="66">
        <v>150</v>
      </c>
      <c r="F2157" s="85">
        <v>45896</v>
      </c>
      <c r="G2157" s="64" t="s">
        <v>1198</v>
      </c>
      <c r="H2157"/>
      <c r="I2157"/>
    </row>
    <row r="2158" spans="1:9" x14ac:dyDescent="0.35">
      <c r="A2158" s="71">
        <f t="shared" si="67"/>
        <v>230762.09999999998</v>
      </c>
      <c r="B2158" s="72">
        <f t="shared" si="66"/>
        <v>-5860</v>
      </c>
      <c r="C2158" s="70">
        <v>2157</v>
      </c>
      <c r="E2158" s="66">
        <v>5860</v>
      </c>
      <c r="F2158" s="85">
        <v>45896</v>
      </c>
      <c r="G2158" s="64" t="s">
        <v>1043</v>
      </c>
      <c r="H2158"/>
      <c r="I2158"/>
    </row>
    <row r="2159" spans="1:9" x14ac:dyDescent="0.35">
      <c r="A2159" s="71">
        <f t="shared" si="67"/>
        <v>254912.09999999998</v>
      </c>
      <c r="B2159" s="72">
        <f t="shared" si="66"/>
        <v>24150</v>
      </c>
      <c r="C2159" s="70">
        <v>2158</v>
      </c>
      <c r="D2159" s="65">
        <v>24250</v>
      </c>
      <c r="E2159" s="66">
        <v>100</v>
      </c>
      <c r="F2159" s="85">
        <v>45896</v>
      </c>
      <c r="G2159" s="64" t="s">
        <v>437</v>
      </c>
      <c r="H2159"/>
      <c r="I2159"/>
    </row>
    <row r="2160" spans="1:9" x14ac:dyDescent="0.35">
      <c r="A2160" s="71">
        <f t="shared" si="67"/>
        <v>254712.09999999998</v>
      </c>
      <c r="B2160" s="72">
        <f t="shared" si="66"/>
        <v>-200</v>
      </c>
      <c r="C2160" s="70">
        <v>2159</v>
      </c>
      <c r="E2160" s="66">
        <v>200</v>
      </c>
      <c r="F2160" s="85">
        <v>45896</v>
      </c>
      <c r="G2160" s="64" t="s">
        <v>2</v>
      </c>
      <c r="H2160"/>
      <c r="I2160"/>
    </row>
    <row r="2161" spans="1:9" x14ac:dyDescent="0.35">
      <c r="A2161" s="71">
        <f t="shared" si="67"/>
        <v>254712.09999999998</v>
      </c>
      <c r="B2161" s="72">
        <f t="shared" si="66"/>
        <v>0</v>
      </c>
      <c r="C2161" s="70">
        <v>2160</v>
      </c>
      <c r="D2161" s="65">
        <v>250</v>
      </c>
      <c r="E2161" s="66">
        <v>250</v>
      </c>
      <c r="F2161" s="85">
        <v>45896</v>
      </c>
      <c r="G2161" s="64" t="s">
        <v>1355</v>
      </c>
      <c r="H2161"/>
      <c r="I2161"/>
    </row>
    <row r="2162" spans="1:9" x14ac:dyDescent="0.35">
      <c r="A2162" s="71">
        <f t="shared" si="67"/>
        <v>254662.09999999998</v>
      </c>
      <c r="B2162" s="72">
        <f t="shared" si="66"/>
        <v>-50</v>
      </c>
      <c r="C2162" s="70">
        <v>2161</v>
      </c>
      <c r="E2162" s="66">
        <v>50</v>
      </c>
      <c r="F2162" s="85">
        <v>45896</v>
      </c>
      <c r="G2162" s="64" t="s">
        <v>1232</v>
      </c>
      <c r="H2162"/>
      <c r="I2162"/>
    </row>
    <row r="2163" spans="1:9" x14ac:dyDescent="0.35">
      <c r="A2163" s="71">
        <f t="shared" si="67"/>
        <v>254367.09999999998</v>
      </c>
      <c r="B2163" s="72">
        <f t="shared" si="66"/>
        <v>-295</v>
      </c>
      <c r="C2163" s="70">
        <v>2162</v>
      </c>
      <c r="E2163" s="66">
        <v>295</v>
      </c>
      <c r="F2163" s="85">
        <v>45896</v>
      </c>
      <c r="G2163" s="64" t="s">
        <v>1231</v>
      </c>
      <c r="H2163"/>
      <c r="I2163"/>
    </row>
    <row r="2164" spans="1:9" x14ac:dyDescent="0.35">
      <c r="A2164" s="71">
        <f t="shared" si="67"/>
        <v>257087.09999999998</v>
      </c>
      <c r="B2164" s="72">
        <f t="shared" si="66"/>
        <v>2720</v>
      </c>
      <c r="C2164" s="70">
        <v>2163</v>
      </c>
      <c r="D2164" s="65">
        <v>2920</v>
      </c>
      <c r="E2164" s="66">
        <v>200</v>
      </c>
      <c r="F2164" s="85">
        <v>45897</v>
      </c>
      <c r="G2164" s="64" t="s">
        <v>437</v>
      </c>
      <c r="H2164"/>
      <c r="I2164"/>
    </row>
    <row r="2165" spans="1:9" x14ac:dyDescent="0.35">
      <c r="A2165" s="71">
        <f t="shared" si="67"/>
        <v>257187.09999999998</v>
      </c>
      <c r="B2165" s="72">
        <f t="shared" si="66"/>
        <v>100</v>
      </c>
      <c r="C2165" s="70">
        <v>2164</v>
      </c>
      <c r="D2165" s="65">
        <v>100</v>
      </c>
      <c r="F2165" s="85">
        <v>45899</v>
      </c>
      <c r="G2165" s="64" t="s">
        <v>481</v>
      </c>
      <c r="H2165"/>
      <c r="I2165"/>
    </row>
    <row r="2166" spans="1:9" x14ac:dyDescent="0.35">
      <c r="A2166" s="71">
        <f t="shared" si="67"/>
        <v>264402.09999999998</v>
      </c>
      <c r="B2166" s="72">
        <f t="shared" si="66"/>
        <v>7215</v>
      </c>
      <c r="C2166" s="70">
        <v>2165</v>
      </c>
      <c r="D2166" s="65">
        <v>9215</v>
      </c>
      <c r="E2166" s="66">
        <v>2000</v>
      </c>
      <c r="F2166" s="85">
        <v>45899</v>
      </c>
      <c r="G2166" s="64" t="s">
        <v>1265</v>
      </c>
      <c r="H2166"/>
      <c r="I2166"/>
    </row>
    <row r="2167" spans="1:9" x14ac:dyDescent="0.35">
      <c r="A2167" s="71">
        <f t="shared" si="67"/>
        <v>264327.09999999998</v>
      </c>
      <c r="B2167" s="72">
        <f t="shared" si="66"/>
        <v>-75</v>
      </c>
      <c r="C2167" s="70">
        <v>2166</v>
      </c>
      <c r="E2167" s="66">
        <v>75</v>
      </c>
      <c r="F2167" s="85">
        <v>45899</v>
      </c>
      <c r="G2167" s="64" t="s">
        <v>122</v>
      </c>
      <c r="H2167"/>
      <c r="I2167"/>
    </row>
    <row r="2168" spans="1:9" x14ac:dyDescent="0.35">
      <c r="A2168" s="71">
        <f t="shared" si="67"/>
        <v>264307.09999999998</v>
      </c>
      <c r="B2168" s="72">
        <f t="shared" si="66"/>
        <v>-20</v>
      </c>
      <c r="C2168" s="70">
        <v>2167</v>
      </c>
      <c r="E2168" s="66">
        <v>20</v>
      </c>
      <c r="F2168" s="85">
        <v>45899</v>
      </c>
      <c r="G2168" s="64" t="s">
        <v>990</v>
      </c>
      <c r="H2168"/>
      <c r="I2168"/>
    </row>
    <row r="2169" spans="1:9" x14ac:dyDescent="0.35">
      <c r="A2169" s="71">
        <f t="shared" si="67"/>
        <v>264207.09999999998</v>
      </c>
      <c r="B2169" s="72">
        <f t="shared" si="66"/>
        <v>-100</v>
      </c>
      <c r="C2169" s="70">
        <v>2168</v>
      </c>
      <c r="E2169" s="66">
        <v>100</v>
      </c>
      <c r="F2169" s="85">
        <v>45899</v>
      </c>
      <c r="G2169" s="64" t="s">
        <v>1069</v>
      </c>
      <c r="H2169"/>
      <c r="I2169"/>
    </row>
    <row r="2170" spans="1:9" x14ac:dyDescent="0.35">
      <c r="A2170" s="71">
        <f t="shared" si="67"/>
        <v>184207.09999999998</v>
      </c>
      <c r="B2170" s="72">
        <f t="shared" si="66"/>
        <v>-80000</v>
      </c>
      <c r="C2170" s="70">
        <v>2169</v>
      </c>
      <c r="E2170" s="66">
        <v>80000</v>
      </c>
      <c r="F2170" s="85">
        <v>45900</v>
      </c>
      <c r="G2170" s="64" t="s">
        <v>1233</v>
      </c>
      <c r="H2170"/>
      <c r="I2170"/>
    </row>
    <row r="2171" spans="1:9" x14ac:dyDescent="0.35">
      <c r="A2171" s="71">
        <f t="shared" si="67"/>
        <v>183707.09999999998</v>
      </c>
      <c r="B2171" s="72">
        <f t="shared" si="66"/>
        <v>-500</v>
      </c>
      <c r="C2171" s="70">
        <v>2170</v>
      </c>
      <c r="E2171" s="66">
        <v>500</v>
      </c>
      <c r="F2171" s="85">
        <v>45900</v>
      </c>
      <c r="G2171" s="64" t="s">
        <v>1234</v>
      </c>
      <c r="H2171"/>
      <c r="I2171"/>
    </row>
    <row r="2172" spans="1:9" x14ac:dyDescent="0.35">
      <c r="A2172" s="71">
        <f t="shared" si="67"/>
        <v>183707.09999999998</v>
      </c>
      <c r="B2172" s="72">
        <f t="shared" si="66"/>
        <v>0</v>
      </c>
      <c r="C2172" s="70">
        <v>2171</v>
      </c>
      <c r="D2172" s="65">
        <v>3500</v>
      </c>
      <c r="E2172" s="66">
        <v>3500</v>
      </c>
      <c r="F2172" s="85">
        <v>45900</v>
      </c>
      <c r="G2172" s="64" t="s">
        <v>1235</v>
      </c>
      <c r="H2172"/>
      <c r="I2172"/>
    </row>
    <row r="2173" spans="1:9" x14ac:dyDescent="0.35">
      <c r="A2173" s="71">
        <f t="shared" si="67"/>
        <v>182707.09999999998</v>
      </c>
      <c r="B2173" s="72">
        <f t="shared" si="66"/>
        <v>-1000</v>
      </c>
      <c r="C2173" s="70">
        <v>2172</v>
      </c>
      <c r="E2173" s="66">
        <v>1000</v>
      </c>
      <c r="F2173" s="85">
        <v>45900</v>
      </c>
      <c r="G2173" s="64" t="s">
        <v>177</v>
      </c>
      <c r="H2173"/>
      <c r="I2173"/>
    </row>
    <row r="2174" spans="1:9" x14ac:dyDescent="0.35">
      <c r="A2174" s="71">
        <f t="shared" si="67"/>
        <v>162707.09999999998</v>
      </c>
      <c r="B2174" s="72">
        <f t="shared" si="66"/>
        <v>-20000</v>
      </c>
      <c r="C2174" s="70">
        <v>2173</v>
      </c>
      <c r="E2174" s="66">
        <v>20000</v>
      </c>
      <c r="F2174" s="85">
        <v>45900</v>
      </c>
      <c r="G2174" s="64" t="s">
        <v>1236</v>
      </c>
      <c r="H2174"/>
      <c r="I2174"/>
    </row>
    <row r="2175" spans="1:9" x14ac:dyDescent="0.35">
      <c r="A2175" s="71">
        <f t="shared" si="67"/>
        <v>162527.09999999998</v>
      </c>
      <c r="B2175" s="72">
        <f t="shared" si="66"/>
        <v>-180</v>
      </c>
      <c r="C2175" s="70">
        <v>2174</v>
      </c>
      <c r="E2175" s="66">
        <v>180</v>
      </c>
      <c r="F2175" s="85">
        <v>45900</v>
      </c>
      <c r="G2175" s="64" t="s">
        <v>1237</v>
      </c>
      <c r="H2175"/>
      <c r="I2175"/>
    </row>
    <row r="2176" spans="1:9" x14ac:dyDescent="0.35">
      <c r="A2176" s="71">
        <f t="shared" si="67"/>
        <v>162327.09999999998</v>
      </c>
      <c r="B2176" s="72">
        <f t="shared" si="66"/>
        <v>-200</v>
      </c>
      <c r="C2176" s="70">
        <v>2175</v>
      </c>
      <c r="E2176" s="66">
        <v>200</v>
      </c>
      <c r="F2176" s="85">
        <v>45900</v>
      </c>
      <c r="G2176" s="64" t="s">
        <v>437</v>
      </c>
      <c r="H2176"/>
      <c r="I2176"/>
    </row>
    <row r="2177" spans="1:9" x14ac:dyDescent="0.35">
      <c r="A2177" s="71">
        <f t="shared" si="67"/>
        <v>218622.09999999998</v>
      </c>
      <c r="B2177" s="72">
        <f t="shared" si="66"/>
        <v>56295</v>
      </c>
      <c r="C2177" s="70">
        <v>2176</v>
      </c>
      <c r="D2177" s="65">
        <v>56295</v>
      </c>
      <c r="F2177" s="85">
        <v>45900</v>
      </c>
      <c r="G2177" s="64" t="s">
        <v>410</v>
      </c>
      <c r="H2177"/>
      <c r="I2177"/>
    </row>
    <row r="2178" spans="1:9" x14ac:dyDescent="0.35">
      <c r="A2178" s="71">
        <f t="shared" si="67"/>
        <v>219792.09999999998</v>
      </c>
      <c r="B2178" s="72">
        <f t="shared" si="66"/>
        <v>1170</v>
      </c>
      <c r="C2178" s="70">
        <v>2177</v>
      </c>
      <c r="D2178" s="65">
        <v>1170</v>
      </c>
      <c r="F2178" s="85">
        <v>45900</v>
      </c>
      <c r="G2178" s="64" t="s">
        <v>1268</v>
      </c>
      <c r="H2178"/>
      <c r="I2178"/>
    </row>
    <row r="2179" spans="1:9" x14ac:dyDescent="0.35">
      <c r="A2179" s="71">
        <f t="shared" si="67"/>
        <v>200542.09999999998</v>
      </c>
      <c r="B2179" s="72">
        <f t="shared" ref="B2179:B2242" si="68">SUM(D2179-E2179)</f>
        <v>-19250</v>
      </c>
      <c r="C2179" s="70">
        <v>2178</v>
      </c>
      <c r="E2179" s="66">
        <v>19250</v>
      </c>
      <c r="F2179" s="85">
        <v>45901</v>
      </c>
      <c r="G2179" s="64" t="s">
        <v>17</v>
      </c>
      <c r="H2179"/>
      <c r="I2179"/>
    </row>
    <row r="2180" spans="1:9" x14ac:dyDescent="0.35">
      <c r="A2180" s="71">
        <f t="shared" ref="A2180:A2243" si="69">SUM(A2179+B2180)</f>
        <v>199802.09999999998</v>
      </c>
      <c r="B2180" s="72">
        <f t="shared" si="68"/>
        <v>-740</v>
      </c>
      <c r="C2180" s="70">
        <v>2179</v>
      </c>
      <c r="E2180" s="66">
        <v>740</v>
      </c>
      <c r="F2180" s="85">
        <v>45901</v>
      </c>
      <c r="G2180" s="64" t="s">
        <v>14</v>
      </c>
      <c r="H2180"/>
      <c r="I2180"/>
    </row>
    <row r="2181" spans="1:9" x14ac:dyDescent="0.35">
      <c r="A2181" s="71">
        <f t="shared" si="69"/>
        <v>199462.09999999998</v>
      </c>
      <c r="B2181" s="72">
        <f t="shared" si="68"/>
        <v>-340</v>
      </c>
      <c r="C2181" s="70">
        <v>2180</v>
      </c>
      <c r="E2181" s="66">
        <v>340</v>
      </c>
      <c r="F2181" s="85">
        <v>45901</v>
      </c>
      <c r="G2181" s="64" t="s">
        <v>1</v>
      </c>
      <c r="H2181"/>
      <c r="I2181"/>
    </row>
    <row r="2182" spans="1:9" x14ac:dyDescent="0.35">
      <c r="A2182" s="71">
        <f t="shared" si="69"/>
        <v>176462.09999999998</v>
      </c>
      <c r="B2182" s="72">
        <f t="shared" si="68"/>
        <v>-23000</v>
      </c>
      <c r="C2182" s="70">
        <v>2181</v>
      </c>
      <c r="E2182" s="66">
        <v>23000</v>
      </c>
      <c r="F2182" s="85">
        <v>45901</v>
      </c>
      <c r="G2182" s="64" t="s">
        <v>933</v>
      </c>
      <c r="H2182"/>
      <c r="I2182"/>
    </row>
    <row r="2183" spans="1:9" x14ac:dyDescent="0.35">
      <c r="A2183" s="71">
        <f t="shared" si="69"/>
        <v>176362.09999999998</v>
      </c>
      <c r="B2183" s="72">
        <f t="shared" si="68"/>
        <v>-100</v>
      </c>
      <c r="C2183" s="70">
        <v>2182</v>
      </c>
      <c r="E2183" s="66">
        <v>100</v>
      </c>
      <c r="F2183" s="85">
        <v>45901</v>
      </c>
      <c r="G2183" s="64" t="s">
        <v>1238</v>
      </c>
      <c r="H2183"/>
      <c r="I2183"/>
    </row>
    <row r="2184" spans="1:9" x14ac:dyDescent="0.35">
      <c r="A2184" s="71">
        <f t="shared" si="69"/>
        <v>118946.09999999998</v>
      </c>
      <c r="B2184" s="72">
        <f t="shared" si="68"/>
        <v>-57416</v>
      </c>
      <c r="C2184" s="70">
        <v>2183</v>
      </c>
      <c r="E2184" s="66">
        <v>57416</v>
      </c>
      <c r="F2184" s="85">
        <v>45901</v>
      </c>
      <c r="G2184" s="64" t="s">
        <v>298</v>
      </c>
      <c r="H2184"/>
      <c r="I2184"/>
    </row>
    <row r="2185" spans="1:9" x14ac:dyDescent="0.35">
      <c r="A2185" s="71">
        <f t="shared" si="69"/>
        <v>125926.09999999998</v>
      </c>
      <c r="B2185" s="72">
        <f t="shared" si="68"/>
        <v>6980</v>
      </c>
      <c r="C2185" s="70">
        <v>2184</v>
      </c>
      <c r="D2185" s="65">
        <v>7180</v>
      </c>
      <c r="E2185" s="66">
        <v>200</v>
      </c>
      <c r="F2185" s="85">
        <v>45901</v>
      </c>
      <c r="G2185" s="64" t="s">
        <v>437</v>
      </c>
      <c r="H2185"/>
      <c r="I2185"/>
    </row>
    <row r="2186" spans="1:9" x14ac:dyDescent="0.35">
      <c r="A2186" s="71">
        <f t="shared" si="69"/>
        <v>125936.09999999998</v>
      </c>
      <c r="B2186" s="72">
        <f t="shared" si="68"/>
        <v>10</v>
      </c>
      <c r="C2186" s="70">
        <v>2185</v>
      </c>
      <c r="D2186" s="65">
        <v>30</v>
      </c>
      <c r="E2186" s="66">
        <v>20</v>
      </c>
      <c r="F2186" s="85">
        <v>45901</v>
      </c>
      <c r="G2186" s="64" t="s">
        <v>1260</v>
      </c>
      <c r="H2186"/>
      <c r="I2186"/>
    </row>
    <row r="2187" spans="1:9" x14ac:dyDescent="0.35">
      <c r="A2187" s="71">
        <f t="shared" si="69"/>
        <v>125236.09999999998</v>
      </c>
      <c r="B2187" s="72">
        <f t="shared" si="68"/>
        <v>-700</v>
      </c>
      <c r="C2187" s="70">
        <v>2186</v>
      </c>
      <c r="E2187" s="66">
        <v>700</v>
      </c>
      <c r="F2187" s="85">
        <v>45902</v>
      </c>
      <c r="G2187" s="64" t="s">
        <v>1240</v>
      </c>
      <c r="H2187"/>
      <c r="I2187"/>
    </row>
    <row r="2188" spans="1:9" x14ac:dyDescent="0.35">
      <c r="A2188" s="71">
        <f t="shared" si="69"/>
        <v>98636.099999999977</v>
      </c>
      <c r="B2188" s="72">
        <f t="shared" si="68"/>
        <v>-26600</v>
      </c>
      <c r="C2188" s="70">
        <v>2187</v>
      </c>
      <c r="E2188" s="66">
        <v>26600</v>
      </c>
      <c r="F2188" s="85">
        <v>45902</v>
      </c>
      <c r="G2188" s="64" t="s">
        <v>15</v>
      </c>
      <c r="H2188"/>
      <c r="I2188"/>
    </row>
    <row r="2189" spans="1:9" x14ac:dyDescent="0.35">
      <c r="A2189" s="71">
        <f t="shared" si="69"/>
        <v>88636.099999999977</v>
      </c>
      <c r="B2189" s="72">
        <f t="shared" si="68"/>
        <v>-10000</v>
      </c>
      <c r="C2189" s="70">
        <v>2188</v>
      </c>
      <c r="E2189" s="66">
        <v>10000</v>
      </c>
      <c r="F2189" s="85">
        <v>45902</v>
      </c>
      <c r="G2189" s="64" t="s">
        <v>33</v>
      </c>
      <c r="H2189"/>
      <c r="I2189"/>
    </row>
    <row r="2190" spans="1:9" x14ac:dyDescent="0.35">
      <c r="A2190" s="71">
        <f t="shared" si="69"/>
        <v>88136.099999999977</v>
      </c>
      <c r="B2190" s="72">
        <f t="shared" si="68"/>
        <v>-500</v>
      </c>
      <c r="C2190" s="70">
        <v>2189</v>
      </c>
      <c r="E2190" s="66">
        <v>500</v>
      </c>
      <c r="F2190" s="85">
        <v>45902</v>
      </c>
      <c r="G2190" s="64" t="s">
        <v>1241</v>
      </c>
      <c r="H2190"/>
      <c r="I2190"/>
    </row>
    <row r="2191" spans="1:9" x14ac:dyDescent="0.35">
      <c r="A2191" s="71">
        <f t="shared" si="69"/>
        <v>87786.099999999977</v>
      </c>
      <c r="B2191" s="72">
        <f t="shared" si="68"/>
        <v>-350</v>
      </c>
      <c r="C2191" s="70">
        <v>2190</v>
      </c>
      <c r="E2191" s="66">
        <v>350</v>
      </c>
      <c r="F2191" s="85">
        <v>45902</v>
      </c>
      <c r="G2191" s="64" t="s">
        <v>1242</v>
      </c>
      <c r="H2191"/>
      <c r="I2191"/>
    </row>
    <row r="2192" spans="1:9" x14ac:dyDescent="0.35">
      <c r="A2192" s="71">
        <f t="shared" si="69"/>
        <v>87386.099999999977</v>
      </c>
      <c r="B2192" s="72">
        <f t="shared" si="68"/>
        <v>-400</v>
      </c>
      <c r="C2192" s="70">
        <v>2191</v>
      </c>
      <c r="E2192" s="66">
        <v>400</v>
      </c>
      <c r="F2192" s="85">
        <v>45902</v>
      </c>
      <c r="G2192" s="64" t="s">
        <v>1243</v>
      </c>
      <c r="H2192"/>
      <c r="I2192"/>
    </row>
    <row r="2193" spans="1:9" x14ac:dyDescent="0.35">
      <c r="A2193" s="71">
        <f t="shared" si="69"/>
        <v>122801.09999999998</v>
      </c>
      <c r="B2193" s="72">
        <f t="shared" si="68"/>
        <v>35415</v>
      </c>
      <c r="C2193" s="70">
        <v>2192</v>
      </c>
      <c r="D2193" s="65">
        <v>36915</v>
      </c>
      <c r="E2193" s="66">
        <v>1500</v>
      </c>
      <c r="F2193" s="85">
        <v>45902</v>
      </c>
      <c r="G2193" s="64" t="s">
        <v>1246</v>
      </c>
      <c r="H2193"/>
      <c r="I2193"/>
    </row>
    <row r="2194" spans="1:9" x14ac:dyDescent="0.35">
      <c r="A2194" s="71">
        <f t="shared" si="69"/>
        <v>122701.09999999998</v>
      </c>
      <c r="B2194" s="72">
        <f t="shared" si="68"/>
        <v>-100</v>
      </c>
      <c r="C2194" s="70">
        <v>2193</v>
      </c>
      <c r="E2194" s="66">
        <v>100</v>
      </c>
      <c r="F2194" s="85">
        <v>45902</v>
      </c>
      <c r="G2194" s="64" t="s">
        <v>1069</v>
      </c>
      <c r="H2194"/>
      <c r="I2194"/>
    </row>
    <row r="2195" spans="1:9" x14ac:dyDescent="0.35">
      <c r="A2195" s="71">
        <f t="shared" si="69"/>
        <v>122701.09999999998</v>
      </c>
      <c r="B2195" s="72">
        <f t="shared" si="68"/>
        <v>0</v>
      </c>
      <c r="C2195" s="70">
        <v>2194</v>
      </c>
      <c r="F2195" s="85">
        <v>45903</v>
      </c>
      <c r="G2195" s="64" t="s">
        <v>1244</v>
      </c>
      <c r="H2195"/>
      <c r="I2195"/>
    </row>
    <row r="2196" spans="1:9" x14ac:dyDescent="0.35">
      <c r="A2196" s="71">
        <f t="shared" si="69"/>
        <v>122531.09999999998</v>
      </c>
      <c r="B2196" s="72">
        <f t="shared" si="68"/>
        <v>-170</v>
      </c>
      <c r="C2196" s="70">
        <v>2195</v>
      </c>
      <c r="E2196" s="66">
        <v>170</v>
      </c>
      <c r="F2196" s="85">
        <v>45903</v>
      </c>
      <c r="G2196" s="64" t="s">
        <v>641</v>
      </c>
      <c r="H2196"/>
      <c r="I2196"/>
    </row>
    <row r="2197" spans="1:9" x14ac:dyDescent="0.35">
      <c r="A2197" s="71">
        <f t="shared" si="69"/>
        <v>121531.09999999998</v>
      </c>
      <c r="B2197" s="72">
        <f t="shared" si="68"/>
        <v>-1000</v>
      </c>
      <c r="C2197" s="70">
        <v>2196</v>
      </c>
      <c r="E2197" s="66">
        <v>1000</v>
      </c>
      <c r="F2197" s="85">
        <v>45903</v>
      </c>
      <c r="G2197" s="64" t="s">
        <v>1245</v>
      </c>
      <c r="H2197"/>
      <c r="I2197"/>
    </row>
    <row r="2198" spans="1:9" x14ac:dyDescent="0.35">
      <c r="A2198" s="71">
        <f t="shared" si="69"/>
        <v>121431.09999999998</v>
      </c>
      <c r="B2198" s="72">
        <f t="shared" si="68"/>
        <v>-100</v>
      </c>
      <c r="C2198" s="70">
        <v>2197</v>
      </c>
      <c r="E2198" s="66">
        <v>100</v>
      </c>
      <c r="F2198" s="85">
        <v>45902</v>
      </c>
      <c r="G2198" s="64" t="s">
        <v>1248</v>
      </c>
      <c r="H2198"/>
      <c r="I2198"/>
    </row>
    <row r="2199" spans="1:9" x14ac:dyDescent="0.35">
      <c r="A2199" s="71">
        <f t="shared" si="69"/>
        <v>121261.09999999998</v>
      </c>
      <c r="B2199" s="72">
        <f t="shared" si="68"/>
        <v>-170</v>
      </c>
      <c r="C2199" s="70">
        <v>2198</v>
      </c>
      <c r="E2199" s="66">
        <v>170</v>
      </c>
      <c r="F2199" s="85">
        <v>45903</v>
      </c>
      <c r="G2199" s="64" t="s">
        <v>1045</v>
      </c>
      <c r="H2199"/>
      <c r="I2199"/>
    </row>
    <row r="2200" spans="1:9" x14ac:dyDescent="0.35">
      <c r="A2200" s="71">
        <f t="shared" si="69"/>
        <v>118531.09999999998</v>
      </c>
      <c r="B2200" s="72">
        <f t="shared" si="68"/>
        <v>-2730</v>
      </c>
      <c r="C2200" s="70">
        <v>2199</v>
      </c>
      <c r="E2200" s="66">
        <v>2730</v>
      </c>
      <c r="F2200" s="85">
        <v>45903</v>
      </c>
      <c r="G2200" s="64" t="s">
        <v>1252</v>
      </c>
      <c r="H2200"/>
      <c r="I2200"/>
    </row>
    <row r="2201" spans="1:9" x14ac:dyDescent="0.35">
      <c r="A2201" s="71">
        <f t="shared" si="69"/>
        <v>138561.09999999998</v>
      </c>
      <c r="B2201" s="72">
        <f t="shared" si="68"/>
        <v>20030</v>
      </c>
      <c r="C2201" s="70">
        <v>2200</v>
      </c>
      <c r="D2201" s="65">
        <v>20050</v>
      </c>
      <c r="E2201" s="66">
        <v>20</v>
      </c>
      <c r="F2201" s="85">
        <v>45903</v>
      </c>
      <c r="G2201" s="64" t="s">
        <v>1250</v>
      </c>
      <c r="H2201"/>
      <c r="I2201"/>
    </row>
    <row r="2202" spans="1:9" x14ac:dyDescent="0.35">
      <c r="A2202" s="71">
        <f t="shared" si="69"/>
        <v>137591.09999999998</v>
      </c>
      <c r="B2202" s="72">
        <f t="shared" si="68"/>
        <v>-970</v>
      </c>
      <c r="C2202" s="70">
        <v>2201</v>
      </c>
      <c r="E2202" s="66">
        <v>970</v>
      </c>
      <c r="F2202" s="85">
        <v>45903</v>
      </c>
      <c r="G2202" s="64" t="s">
        <v>1249</v>
      </c>
      <c r="H2202"/>
      <c r="I2202"/>
    </row>
    <row r="2203" spans="1:9" x14ac:dyDescent="0.35">
      <c r="A2203" s="71">
        <f t="shared" si="69"/>
        <v>137566.09999999998</v>
      </c>
      <c r="B2203" s="72">
        <f t="shared" si="68"/>
        <v>-25</v>
      </c>
      <c r="C2203" s="70">
        <v>2202</v>
      </c>
      <c r="E2203" s="66">
        <v>25</v>
      </c>
      <c r="F2203" s="85">
        <v>45903</v>
      </c>
      <c r="G2203" s="64" t="s">
        <v>1251</v>
      </c>
      <c r="H2203"/>
      <c r="I2203"/>
    </row>
    <row r="2204" spans="1:9" x14ac:dyDescent="0.35">
      <c r="A2204" s="71">
        <f t="shared" si="69"/>
        <v>137466.09999999998</v>
      </c>
      <c r="B2204" s="72">
        <f t="shared" si="68"/>
        <v>-100</v>
      </c>
      <c r="C2204" s="70">
        <v>2203</v>
      </c>
      <c r="E2204" s="66">
        <v>100</v>
      </c>
      <c r="F2204" s="85">
        <v>45903</v>
      </c>
      <c r="G2204" s="64" t="s">
        <v>437</v>
      </c>
      <c r="H2204"/>
      <c r="I2204"/>
    </row>
    <row r="2205" spans="1:9" x14ac:dyDescent="0.35">
      <c r="A2205" s="71">
        <f t="shared" si="69"/>
        <v>137366.09999999998</v>
      </c>
      <c r="B2205" s="72">
        <f t="shared" si="68"/>
        <v>-100</v>
      </c>
      <c r="C2205" s="70">
        <v>2204</v>
      </c>
      <c r="E2205" s="66">
        <v>100</v>
      </c>
      <c r="F2205" s="85">
        <v>45903</v>
      </c>
      <c r="G2205" s="64" t="s">
        <v>1069</v>
      </c>
      <c r="H2205"/>
      <c r="I2205"/>
    </row>
    <row r="2206" spans="1:9" x14ac:dyDescent="0.35">
      <c r="A2206" s="71">
        <f t="shared" si="69"/>
        <v>133766.09999999998</v>
      </c>
      <c r="B2206" s="72">
        <f t="shared" si="68"/>
        <v>-3600</v>
      </c>
      <c r="C2206" s="70">
        <v>2205</v>
      </c>
      <c r="E2206" s="66">
        <v>3600</v>
      </c>
      <c r="F2206" s="85">
        <v>45903</v>
      </c>
      <c r="G2206" s="64" t="s">
        <v>1253</v>
      </c>
      <c r="H2206"/>
      <c r="I2206"/>
    </row>
    <row r="2207" spans="1:9" x14ac:dyDescent="0.35">
      <c r="A2207" s="71">
        <f t="shared" si="69"/>
        <v>109766.09999999998</v>
      </c>
      <c r="B2207" s="72">
        <f t="shared" si="68"/>
        <v>-24000</v>
      </c>
      <c r="C2207" s="70">
        <v>2206</v>
      </c>
      <c r="E2207" s="66">
        <v>24000</v>
      </c>
      <c r="F2207" s="85">
        <v>45903</v>
      </c>
      <c r="G2207" s="64" t="s">
        <v>1254</v>
      </c>
      <c r="H2207"/>
      <c r="I2207"/>
    </row>
    <row r="2208" spans="1:9" x14ac:dyDescent="0.35">
      <c r="A2208" s="71">
        <f t="shared" si="69"/>
        <v>109766.09999999998</v>
      </c>
      <c r="B2208" s="72">
        <f t="shared" si="68"/>
        <v>0</v>
      </c>
      <c r="C2208" s="70">
        <v>2207</v>
      </c>
      <c r="D2208" s="65">
        <v>64800</v>
      </c>
      <c r="E2208" s="66">
        <v>64800</v>
      </c>
      <c r="F2208" s="85">
        <v>45904</v>
      </c>
      <c r="G2208" s="64" t="s">
        <v>1255</v>
      </c>
      <c r="H2208"/>
      <c r="I2208"/>
    </row>
    <row r="2209" spans="1:9" x14ac:dyDescent="0.35">
      <c r="A2209" s="71">
        <f t="shared" si="69"/>
        <v>109366.09999999998</v>
      </c>
      <c r="B2209" s="72">
        <f t="shared" si="68"/>
        <v>-400</v>
      </c>
      <c r="C2209" s="70">
        <v>2208</v>
      </c>
      <c r="D2209" s="65">
        <v>600</v>
      </c>
      <c r="E2209" s="66">
        <v>1000</v>
      </c>
      <c r="F2209" s="85">
        <v>45904</v>
      </c>
      <c r="G2209" s="64" t="s">
        <v>1478</v>
      </c>
      <c r="H2209"/>
      <c r="I2209"/>
    </row>
    <row r="2210" spans="1:9" x14ac:dyDescent="0.35">
      <c r="A2210" s="71">
        <f t="shared" si="69"/>
        <v>108456.09999999998</v>
      </c>
      <c r="B2210" s="72">
        <f t="shared" si="68"/>
        <v>-910</v>
      </c>
      <c r="C2210" s="70">
        <v>2209</v>
      </c>
      <c r="E2210" s="66">
        <v>910</v>
      </c>
      <c r="F2210" s="85">
        <v>45904</v>
      </c>
      <c r="G2210" s="64" t="s">
        <v>1256</v>
      </c>
      <c r="H2210"/>
      <c r="I2210"/>
    </row>
    <row r="2211" spans="1:9" x14ac:dyDescent="0.35">
      <c r="A2211" s="71">
        <f t="shared" si="69"/>
        <v>105956.09999999998</v>
      </c>
      <c r="B2211" s="72">
        <f t="shared" si="68"/>
        <v>-2500</v>
      </c>
      <c r="C2211" s="70">
        <v>2210</v>
      </c>
      <c r="E2211" s="66">
        <v>2500</v>
      </c>
      <c r="F2211" s="85">
        <v>45904</v>
      </c>
      <c r="G2211" s="64" t="s">
        <v>177</v>
      </c>
      <c r="H2211"/>
      <c r="I2211"/>
    </row>
    <row r="2212" spans="1:9" x14ac:dyDescent="0.35">
      <c r="A2212" s="71">
        <f t="shared" si="69"/>
        <v>108226.09999999998</v>
      </c>
      <c r="B2212" s="72">
        <f t="shared" si="68"/>
        <v>2270</v>
      </c>
      <c r="C2212" s="70">
        <v>2211</v>
      </c>
      <c r="D2212" s="65">
        <v>2370</v>
      </c>
      <c r="E2212" s="66">
        <v>100</v>
      </c>
      <c r="F2212" s="85">
        <v>45904</v>
      </c>
      <c r="G2212" s="64" t="s">
        <v>752</v>
      </c>
      <c r="H2212"/>
      <c r="I2212"/>
    </row>
    <row r="2213" spans="1:9" x14ac:dyDescent="0.35">
      <c r="A2213" s="71">
        <f t="shared" si="69"/>
        <v>106426.09999999998</v>
      </c>
      <c r="B2213" s="72">
        <f t="shared" si="68"/>
        <v>-1800</v>
      </c>
      <c r="C2213" s="70">
        <v>2212</v>
      </c>
      <c r="E2213" s="66">
        <v>1800</v>
      </c>
      <c r="F2213" s="85">
        <v>45906</v>
      </c>
      <c r="G2213" s="64" t="s">
        <v>1257</v>
      </c>
      <c r="H2213"/>
      <c r="I2213"/>
    </row>
    <row r="2214" spans="1:9" x14ac:dyDescent="0.35">
      <c r="A2214" s="71">
        <f t="shared" si="69"/>
        <v>105911.09999999998</v>
      </c>
      <c r="B2214" s="72">
        <f t="shared" si="68"/>
        <v>-515</v>
      </c>
      <c r="C2214" s="70">
        <v>2213</v>
      </c>
      <c r="E2214" s="66">
        <v>515</v>
      </c>
      <c r="F2214" s="85">
        <v>45906</v>
      </c>
      <c r="G2214" s="64" t="s">
        <v>1258</v>
      </c>
      <c r="H2214"/>
      <c r="I2214"/>
    </row>
    <row r="2215" spans="1:9" x14ac:dyDescent="0.35">
      <c r="A2215" s="71">
        <f t="shared" si="69"/>
        <v>103911.09999999998</v>
      </c>
      <c r="B2215" s="72">
        <f t="shared" si="68"/>
        <v>-2000</v>
      </c>
      <c r="C2215" s="70">
        <v>2214</v>
      </c>
      <c r="E2215" s="66">
        <v>2000</v>
      </c>
      <c r="F2215" s="85">
        <v>45906</v>
      </c>
      <c r="G2215" s="64" t="s">
        <v>177</v>
      </c>
      <c r="H2215"/>
      <c r="I2215"/>
    </row>
    <row r="2216" spans="1:9" x14ac:dyDescent="0.35">
      <c r="A2216" s="71">
        <f t="shared" si="69"/>
        <v>99111.099999999977</v>
      </c>
      <c r="B2216" s="72">
        <f t="shared" si="68"/>
        <v>-4800</v>
      </c>
      <c r="C2216" s="70">
        <v>2215</v>
      </c>
      <c r="E2216" s="66">
        <v>4800</v>
      </c>
      <c r="F2216" s="85">
        <v>45906</v>
      </c>
      <c r="G2216" s="64" t="s">
        <v>1259</v>
      </c>
      <c r="H2216"/>
      <c r="I2216"/>
    </row>
    <row r="2217" spans="1:9" x14ac:dyDescent="0.35">
      <c r="A2217" s="71">
        <f t="shared" si="69"/>
        <v>98111.099999999977</v>
      </c>
      <c r="B2217" s="72">
        <f t="shared" si="68"/>
        <v>-1000</v>
      </c>
      <c r="C2217" s="70">
        <v>2216</v>
      </c>
      <c r="E2217" s="66">
        <v>1000</v>
      </c>
      <c r="F2217" s="85">
        <v>45906</v>
      </c>
      <c r="G2217" s="64" t="s">
        <v>87</v>
      </c>
      <c r="H2217"/>
      <c r="I2217"/>
    </row>
    <row r="2218" spans="1:9" x14ac:dyDescent="0.35">
      <c r="A2218" s="71">
        <f t="shared" si="69"/>
        <v>93111.099999999977</v>
      </c>
      <c r="B2218" s="72">
        <f t="shared" si="68"/>
        <v>-5000</v>
      </c>
      <c r="C2218" s="70">
        <v>2217</v>
      </c>
      <c r="E2218" s="66">
        <v>5000</v>
      </c>
      <c r="F2218" s="85">
        <v>45906</v>
      </c>
      <c r="G2218" s="64" t="s">
        <v>1261</v>
      </c>
      <c r="H2218"/>
      <c r="I2218"/>
    </row>
    <row r="2219" spans="1:9" x14ac:dyDescent="0.35">
      <c r="A2219" s="71">
        <f t="shared" si="69"/>
        <v>98111.099999999977</v>
      </c>
      <c r="B2219" s="72">
        <f t="shared" si="68"/>
        <v>5000</v>
      </c>
      <c r="C2219" s="70">
        <v>2218</v>
      </c>
      <c r="D2219" s="65">
        <v>7010</v>
      </c>
      <c r="E2219" s="66">
        <v>2010</v>
      </c>
      <c r="F2219" s="85">
        <v>45906</v>
      </c>
      <c r="G2219" s="64" t="s">
        <v>64</v>
      </c>
      <c r="H2219"/>
      <c r="I2219"/>
    </row>
    <row r="2220" spans="1:9" x14ac:dyDescent="0.35">
      <c r="A2220" s="71">
        <f t="shared" si="69"/>
        <v>97891.099999999977</v>
      </c>
      <c r="B2220" s="72">
        <f t="shared" si="68"/>
        <v>-220</v>
      </c>
      <c r="C2220" s="70">
        <v>2219</v>
      </c>
      <c r="E2220" s="66">
        <v>220</v>
      </c>
      <c r="F2220" s="85">
        <v>45906</v>
      </c>
      <c r="G2220" s="64" t="s">
        <v>1262</v>
      </c>
      <c r="H2220"/>
      <c r="I2220"/>
    </row>
    <row r="2221" spans="1:9" x14ac:dyDescent="0.35">
      <c r="A2221" s="71">
        <f t="shared" si="69"/>
        <v>97691.099999999977</v>
      </c>
      <c r="B2221" s="72">
        <f t="shared" si="68"/>
        <v>-200</v>
      </c>
      <c r="C2221" s="70">
        <v>2220</v>
      </c>
      <c r="E2221" s="66">
        <v>200</v>
      </c>
      <c r="F2221" s="85">
        <v>45906</v>
      </c>
      <c r="G2221" s="64" t="s">
        <v>1069</v>
      </c>
      <c r="H2221"/>
      <c r="I2221"/>
    </row>
    <row r="2222" spans="1:9" x14ac:dyDescent="0.35">
      <c r="A2222" s="71">
        <f t="shared" si="69"/>
        <v>97591.099999999977</v>
      </c>
      <c r="B2222" s="72">
        <f t="shared" si="68"/>
        <v>-100</v>
      </c>
      <c r="C2222" s="70">
        <v>2221</v>
      </c>
      <c r="E2222" s="66">
        <v>100</v>
      </c>
      <c r="F2222" s="85">
        <v>45906</v>
      </c>
      <c r="G2222" s="64" t="s">
        <v>437</v>
      </c>
      <c r="H2222"/>
      <c r="I2222"/>
    </row>
    <row r="2223" spans="1:9" x14ac:dyDescent="0.35">
      <c r="A2223" s="71">
        <f t="shared" si="69"/>
        <v>97491.099999999977</v>
      </c>
      <c r="B2223" s="72">
        <f t="shared" si="68"/>
        <v>-100</v>
      </c>
      <c r="C2223" s="70">
        <v>2222</v>
      </c>
      <c r="E2223" s="66">
        <v>100</v>
      </c>
      <c r="F2223" s="85">
        <v>45906</v>
      </c>
      <c r="G2223" s="64" t="s">
        <v>752</v>
      </c>
      <c r="H2223"/>
      <c r="I2223"/>
    </row>
    <row r="2224" spans="1:9" x14ac:dyDescent="0.35">
      <c r="A2224" s="71">
        <f t="shared" si="69"/>
        <v>97441.099999999977</v>
      </c>
      <c r="B2224" s="72">
        <f t="shared" si="68"/>
        <v>-50</v>
      </c>
      <c r="C2224" s="70">
        <v>2223</v>
      </c>
      <c r="E2224" s="66">
        <v>50</v>
      </c>
      <c r="F2224" s="85">
        <v>45906</v>
      </c>
      <c r="G2224" s="64" t="s">
        <v>334</v>
      </c>
      <c r="H2224"/>
      <c r="I2224"/>
    </row>
    <row r="2225" spans="1:9" x14ac:dyDescent="0.35">
      <c r="A2225" s="71">
        <f t="shared" si="69"/>
        <v>128264.09999999998</v>
      </c>
      <c r="B2225" s="72">
        <f t="shared" si="68"/>
        <v>30823</v>
      </c>
      <c r="C2225" s="70">
        <v>2224</v>
      </c>
      <c r="D2225" s="65">
        <v>30988</v>
      </c>
      <c r="E2225" s="66">
        <v>165</v>
      </c>
      <c r="F2225" s="85">
        <v>45907</v>
      </c>
      <c r="G2225" s="64" t="s">
        <v>250</v>
      </c>
      <c r="H2225"/>
      <c r="I2225"/>
    </row>
    <row r="2226" spans="1:9" x14ac:dyDescent="0.35">
      <c r="A2226" s="71">
        <f t="shared" si="69"/>
        <v>128304.09999999998</v>
      </c>
      <c r="B2226" s="72">
        <f t="shared" si="68"/>
        <v>40</v>
      </c>
      <c r="C2226" s="70">
        <v>2225</v>
      </c>
      <c r="D2226" s="65">
        <v>40</v>
      </c>
      <c r="F2226" s="85">
        <v>45907</v>
      </c>
      <c r="G2226" s="64" t="s">
        <v>1263</v>
      </c>
      <c r="H2226"/>
      <c r="I2226"/>
    </row>
    <row r="2227" spans="1:9" x14ac:dyDescent="0.35">
      <c r="A2227" s="71">
        <f t="shared" si="69"/>
        <v>128204.09999999998</v>
      </c>
      <c r="B2227" s="72">
        <f t="shared" si="68"/>
        <v>-100</v>
      </c>
      <c r="C2227" s="70">
        <v>2226</v>
      </c>
      <c r="E2227" s="66">
        <v>100</v>
      </c>
      <c r="F2227" s="85">
        <v>45907</v>
      </c>
      <c r="G2227" s="64" t="s">
        <v>990</v>
      </c>
      <c r="H2227"/>
      <c r="I2227"/>
    </row>
    <row r="2228" spans="1:9" x14ac:dyDescent="0.35">
      <c r="A2228" s="71">
        <f t="shared" si="69"/>
        <v>128204.09999999998</v>
      </c>
      <c r="B2228" s="72">
        <f t="shared" si="68"/>
        <v>0</v>
      </c>
      <c r="C2228" s="70">
        <v>2227</v>
      </c>
      <c r="D2228" s="65">
        <v>100</v>
      </c>
      <c r="E2228" s="66">
        <v>100</v>
      </c>
      <c r="F2228" s="85">
        <v>45907</v>
      </c>
      <c r="G2228" s="64" t="s">
        <v>1348</v>
      </c>
      <c r="H2228"/>
      <c r="I2228"/>
    </row>
    <row r="2229" spans="1:9" x14ac:dyDescent="0.35">
      <c r="A2229" s="71">
        <f t="shared" si="69"/>
        <v>132494.09999999998</v>
      </c>
      <c r="B2229" s="72">
        <f t="shared" si="68"/>
        <v>4290</v>
      </c>
      <c r="C2229" s="70">
        <v>2228</v>
      </c>
      <c r="D2229" s="65">
        <v>4290</v>
      </c>
      <c r="F2229" s="85">
        <v>45908</v>
      </c>
      <c r="H2229"/>
      <c r="I2229"/>
    </row>
    <row r="2230" spans="1:9" x14ac:dyDescent="0.35">
      <c r="A2230" s="71">
        <f t="shared" si="69"/>
        <v>117494.09999999998</v>
      </c>
      <c r="B2230" s="72">
        <f t="shared" si="68"/>
        <v>-15000</v>
      </c>
      <c r="C2230" s="70">
        <v>2229</v>
      </c>
      <c r="E2230" s="66">
        <v>15000</v>
      </c>
      <c r="F2230" s="85">
        <v>45908</v>
      </c>
      <c r="G2230" s="64" t="s">
        <v>1264</v>
      </c>
      <c r="H2230"/>
      <c r="I2230"/>
    </row>
    <row r="2231" spans="1:9" x14ac:dyDescent="0.35">
      <c r="A2231" s="71">
        <f t="shared" si="69"/>
        <v>109454.09999999998</v>
      </c>
      <c r="B2231" s="72">
        <f t="shared" si="68"/>
        <v>-8040</v>
      </c>
      <c r="C2231" s="70">
        <v>2230</v>
      </c>
      <c r="E2231" s="66">
        <v>8040</v>
      </c>
      <c r="F2231" s="85">
        <v>45908</v>
      </c>
      <c r="G2231" s="64" t="s">
        <v>1283</v>
      </c>
      <c r="H2231"/>
      <c r="I2231"/>
    </row>
    <row r="2232" spans="1:9" x14ac:dyDescent="0.35">
      <c r="A2232" s="71">
        <f t="shared" si="69"/>
        <v>109454.09999999998</v>
      </c>
      <c r="B2232" s="72">
        <f t="shared" si="68"/>
        <v>0</v>
      </c>
      <c r="C2232" s="70">
        <v>2231</v>
      </c>
      <c r="D2232" s="65">
        <v>500</v>
      </c>
      <c r="E2232" s="66">
        <v>500</v>
      </c>
      <c r="F2232" s="85">
        <v>45908</v>
      </c>
      <c r="G2232" s="64" t="s">
        <v>1271</v>
      </c>
      <c r="H2232"/>
      <c r="I2232"/>
    </row>
    <row r="2233" spans="1:9" x14ac:dyDescent="0.35">
      <c r="A2233" s="71">
        <f t="shared" si="69"/>
        <v>108994.09999999998</v>
      </c>
      <c r="B2233" s="72">
        <f t="shared" si="68"/>
        <v>-460</v>
      </c>
      <c r="C2233" s="70">
        <v>2232</v>
      </c>
      <c r="E2233" s="66">
        <v>460</v>
      </c>
      <c r="F2233" s="85">
        <v>45908</v>
      </c>
      <c r="G2233" s="64" t="s">
        <v>1043</v>
      </c>
      <c r="H2233"/>
      <c r="I2233"/>
    </row>
    <row r="2234" spans="1:9" x14ac:dyDescent="0.35">
      <c r="A2234" s="71">
        <f t="shared" si="69"/>
        <v>108904.09999999998</v>
      </c>
      <c r="B2234" s="72">
        <f t="shared" si="68"/>
        <v>-90</v>
      </c>
      <c r="C2234" s="70">
        <v>2233</v>
      </c>
      <c r="E2234" s="66">
        <v>90</v>
      </c>
      <c r="F2234" s="85">
        <v>45908</v>
      </c>
      <c r="G2234" s="64" t="s">
        <v>1267</v>
      </c>
      <c r="H2234"/>
      <c r="I2234"/>
    </row>
    <row r="2235" spans="1:9" x14ac:dyDescent="0.35">
      <c r="A2235" s="71">
        <f t="shared" si="69"/>
        <v>153904.09999999998</v>
      </c>
      <c r="B2235" s="72">
        <f t="shared" si="68"/>
        <v>45000</v>
      </c>
      <c r="C2235" s="70">
        <v>2234</v>
      </c>
      <c r="D2235" s="65">
        <v>45100</v>
      </c>
      <c r="E2235" s="66">
        <v>100</v>
      </c>
      <c r="F2235" s="85">
        <v>45909</v>
      </c>
      <c r="G2235" s="64" t="s">
        <v>752</v>
      </c>
      <c r="H2235"/>
      <c r="I2235"/>
    </row>
    <row r="2236" spans="1:9" x14ac:dyDescent="0.35">
      <c r="A2236" s="71">
        <f t="shared" si="69"/>
        <v>147904.09999999998</v>
      </c>
      <c r="B2236" s="72">
        <f t="shared" si="68"/>
        <v>-6000</v>
      </c>
      <c r="C2236" s="70">
        <v>2235</v>
      </c>
      <c r="E2236" s="66">
        <v>6000</v>
      </c>
      <c r="F2236" s="85">
        <v>45909</v>
      </c>
      <c r="G2236" s="64" t="s">
        <v>1282</v>
      </c>
      <c r="H2236"/>
      <c r="I2236"/>
    </row>
    <row r="2237" spans="1:9" x14ac:dyDescent="0.35">
      <c r="A2237" s="71">
        <f t="shared" si="69"/>
        <v>147884.09999999998</v>
      </c>
      <c r="B2237" s="72">
        <f t="shared" si="68"/>
        <v>-20</v>
      </c>
      <c r="C2237" s="70">
        <v>2236</v>
      </c>
      <c r="E2237" s="66">
        <v>20</v>
      </c>
      <c r="F2237" s="85">
        <v>45909</v>
      </c>
      <c r="G2237" s="64" t="s">
        <v>296</v>
      </c>
      <c r="H2237"/>
      <c r="I2237"/>
    </row>
    <row r="2238" spans="1:9" x14ac:dyDescent="0.35">
      <c r="A2238" s="71">
        <f t="shared" si="69"/>
        <v>131084.09999999998</v>
      </c>
      <c r="B2238" s="72">
        <f t="shared" si="68"/>
        <v>-16800</v>
      </c>
      <c r="C2238" s="70">
        <v>2237</v>
      </c>
      <c r="E2238" s="66">
        <v>16800</v>
      </c>
      <c r="F2238" s="85">
        <v>45910</v>
      </c>
      <c r="G2238" s="64" t="s">
        <v>1277</v>
      </c>
      <c r="H2238"/>
      <c r="I2238"/>
    </row>
    <row r="2239" spans="1:9" x14ac:dyDescent="0.35">
      <c r="A2239" s="71">
        <f t="shared" si="69"/>
        <v>84538.099999999977</v>
      </c>
      <c r="B2239" s="72">
        <f t="shared" si="68"/>
        <v>-46546</v>
      </c>
      <c r="C2239" s="70">
        <v>2238</v>
      </c>
      <c r="E2239" s="66">
        <v>46546</v>
      </c>
      <c r="F2239" s="85">
        <v>45910</v>
      </c>
      <c r="G2239" s="64" t="s">
        <v>18</v>
      </c>
      <c r="H2239"/>
      <c r="I2239"/>
    </row>
    <row r="2240" spans="1:9" x14ac:dyDescent="0.35">
      <c r="A2240" s="71">
        <f t="shared" si="69"/>
        <v>130788.09999999998</v>
      </c>
      <c r="B2240" s="72">
        <f t="shared" si="68"/>
        <v>46250</v>
      </c>
      <c r="C2240" s="70">
        <v>2239</v>
      </c>
      <c r="D2240" s="65">
        <v>46550</v>
      </c>
      <c r="E2240" s="66">
        <v>300</v>
      </c>
      <c r="F2240" s="85">
        <v>45910</v>
      </c>
      <c r="G2240" s="64" t="s">
        <v>1273</v>
      </c>
      <c r="H2240"/>
      <c r="I2240"/>
    </row>
    <row r="2241" spans="1:9" x14ac:dyDescent="0.35">
      <c r="A2241" s="71">
        <f t="shared" si="69"/>
        <v>130488.09999999998</v>
      </c>
      <c r="B2241" s="72">
        <f t="shared" si="68"/>
        <v>-300</v>
      </c>
      <c r="C2241" s="70">
        <v>2240</v>
      </c>
      <c r="E2241" s="66">
        <v>300</v>
      </c>
      <c r="F2241" s="85">
        <v>45910</v>
      </c>
      <c r="G2241" s="64" t="s">
        <v>851</v>
      </c>
      <c r="H2241"/>
      <c r="I2241"/>
    </row>
    <row r="2242" spans="1:9" x14ac:dyDescent="0.35">
      <c r="A2242" s="71">
        <f t="shared" si="69"/>
        <v>130342.09999999998</v>
      </c>
      <c r="B2242" s="72">
        <f t="shared" si="68"/>
        <v>-146</v>
      </c>
      <c r="C2242" s="70">
        <v>2241</v>
      </c>
      <c r="E2242" s="66">
        <v>146</v>
      </c>
      <c r="F2242" s="85">
        <v>45910</v>
      </c>
      <c r="G2242" s="64" t="s">
        <v>1276</v>
      </c>
      <c r="H2242"/>
      <c r="I2242"/>
    </row>
    <row r="2243" spans="1:9" x14ac:dyDescent="0.35">
      <c r="A2243" s="71">
        <f t="shared" si="69"/>
        <v>130274.09999999998</v>
      </c>
      <c r="B2243" s="72">
        <f t="shared" ref="B2243:B2306" si="70">SUM(D2243-E2243)</f>
        <v>-68</v>
      </c>
      <c r="C2243" s="70">
        <v>2242</v>
      </c>
      <c r="E2243" s="66">
        <v>68</v>
      </c>
      <c r="F2243" s="85">
        <v>45910</v>
      </c>
      <c r="G2243" s="64" t="s">
        <v>1275</v>
      </c>
      <c r="H2243"/>
      <c r="I2243"/>
    </row>
    <row r="2244" spans="1:9" x14ac:dyDescent="0.35">
      <c r="A2244" s="71">
        <f t="shared" ref="A2244:A2307" si="71">SUM(A2243+B2244)</f>
        <v>130211.09999999998</v>
      </c>
      <c r="B2244" s="72">
        <f t="shared" si="70"/>
        <v>-63</v>
      </c>
      <c r="C2244" s="70">
        <v>2243</v>
      </c>
      <c r="E2244" s="66">
        <v>63</v>
      </c>
      <c r="F2244" s="85">
        <v>45910</v>
      </c>
      <c r="G2244" s="64" t="s">
        <v>1274</v>
      </c>
      <c r="H2244"/>
      <c r="I2244"/>
    </row>
    <row r="2245" spans="1:9" x14ac:dyDescent="0.35">
      <c r="A2245" s="71">
        <f t="shared" si="71"/>
        <v>130056.09999999998</v>
      </c>
      <c r="B2245" s="72">
        <f t="shared" si="70"/>
        <v>-155</v>
      </c>
      <c r="C2245" s="70">
        <v>2244</v>
      </c>
      <c r="E2245" s="66">
        <v>155</v>
      </c>
      <c r="F2245" s="85">
        <v>45910</v>
      </c>
      <c r="G2245" s="64" t="s">
        <v>1278</v>
      </c>
      <c r="H2245"/>
      <c r="I2245"/>
    </row>
    <row r="2246" spans="1:9" x14ac:dyDescent="0.35">
      <c r="A2246" s="71">
        <f t="shared" si="71"/>
        <v>129956.09999999998</v>
      </c>
      <c r="B2246" s="72">
        <f t="shared" si="70"/>
        <v>-100</v>
      </c>
      <c r="C2246" s="70">
        <v>2245</v>
      </c>
      <c r="E2246" s="66">
        <v>100</v>
      </c>
      <c r="F2246" s="85">
        <v>45910</v>
      </c>
      <c r="G2246" s="64" t="s">
        <v>752</v>
      </c>
      <c r="H2246"/>
      <c r="I2246"/>
    </row>
    <row r="2247" spans="1:9" x14ac:dyDescent="0.35">
      <c r="A2247" s="71">
        <f t="shared" si="71"/>
        <v>128756.09999999998</v>
      </c>
      <c r="B2247" s="72">
        <f t="shared" si="70"/>
        <v>-1200</v>
      </c>
      <c r="C2247" s="70">
        <v>2246</v>
      </c>
      <c r="E2247" s="66">
        <v>1200</v>
      </c>
      <c r="F2247" s="85">
        <v>45910</v>
      </c>
      <c r="G2247" s="64" t="s">
        <v>177</v>
      </c>
      <c r="H2247"/>
      <c r="I2247"/>
    </row>
    <row r="2248" spans="1:9" x14ac:dyDescent="0.35">
      <c r="A2248" s="71">
        <f t="shared" si="71"/>
        <v>127756.09999999998</v>
      </c>
      <c r="B2248" s="72">
        <f t="shared" si="70"/>
        <v>-1000</v>
      </c>
      <c r="C2248" s="70">
        <v>2247</v>
      </c>
      <c r="E2248" s="66">
        <v>1000</v>
      </c>
      <c r="F2248" s="85">
        <v>45911</v>
      </c>
      <c r="G2248" s="64" t="s">
        <v>1279</v>
      </c>
      <c r="H2248"/>
      <c r="I2248"/>
    </row>
    <row r="2249" spans="1:9" x14ac:dyDescent="0.35">
      <c r="A2249" s="71">
        <f t="shared" si="71"/>
        <v>127556.09999999998</v>
      </c>
      <c r="B2249" s="72">
        <f t="shared" si="70"/>
        <v>-200</v>
      </c>
      <c r="C2249" s="70">
        <v>2248</v>
      </c>
      <c r="E2249" s="66">
        <v>200</v>
      </c>
      <c r="F2249" s="85">
        <v>45911</v>
      </c>
      <c r="G2249" s="64" t="s">
        <v>1281</v>
      </c>
      <c r="H2249"/>
      <c r="I2249"/>
    </row>
    <row r="2250" spans="1:9" x14ac:dyDescent="0.35">
      <c r="A2250" s="71">
        <f t="shared" si="71"/>
        <v>130446.09999999998</v>
      </c>
      <c r="B2250" s="72">
        <f t="shared" si="70"/>
        <v>2890</v>
      </c>
      <c r="C2250" s="70">
        <v>2249</v>
      </c>
      <c r="D2250" s="65">
        <v>2900</v>
      </c>
      <c r="E2250" s="66">
        <v>10</v>
      </c>
      <c r="F2250" s="85">
        <v>45911</v>
      </c>
      <c r="G2250" s="64" t="s">
        <v>33</v>
      </c>
      <c r="H2250"/>
      <c r="I2250"/>
    </row>
    <row r="2251" spans="1:9" x14ac:dyDescent="0.35">
      <c r="A2251" s="71">
        <f t="shared" si="71"/>
        <v>130346.09999999998</v>
      </c>
      <c r="B2251" s="72">
        <f t="shared" si="70"/>
        <v>-100</v>
      </c>
      <c r="C2251" s="70">
        <v>2250</v>
      </c>
      <c r="E2251" s="66">
        <v>100</v>
      </c>
      <c r="F2251" s="85">
        <v>45911</v>
      </c>
      <c r="G2251" s="64" t="s">
        <v>752</v>
      </c>
      <c r="H2251"/>
      <c r="I2251"/>
    </row>
    <row r="2252" spans="1:9" x14ac:dyDescent="0.35">
      <c r="A2252" s="71">
        <f t="shared" si="71"/>
        <v>129846.09999999998</v>
      </c>
      <c r="B2252" s="72">
        <f t="shared" si="70"/>
        <v>-500</v>
      </c>
      <c r="C2252" s="70">
        <v>2251</v>
      </c>
      <c r="E2252" s="66">
        <v>500</v>
      </c>
      <c r="F2252" s="85">
        <v>45912</v>
      </c>
      <c r="G2252" s="64" t="s">
        <v>177</v>
      </c>
      <c r="H2252"/>
      <c r="I2252"/>
    </row>
    <row r="2253" spans="1:9" x14ac:dyDescent="0.35">
      <c r="A2253" s="71">
        <f t="shared" si="71"/>
        <v>136206.09999999998</v>
      </c>
      <c r="B2253" s="72">
        <f t="shared" si="70"/>
        <v>6360</v>
      </c>
      <c r="C2253" s="70">
        <v>2252</v>
      </c>
      <c r="D2253" s="65">
        <v>6360</v>
      </c>
      <c r="F2253" s="85">
        <v>45913</v>
      </c>
      <c r="H2253"/>
      <c r="I2253"/>
    </row>
    <row r="2254" spans="1:9" x14ac:dyDescent="0.35">
      <c r="A2254" s="71">
        <f t="shared" si="71"/>
        <v>135846.09999999998</v>
      </c>
      <c r="B2254" s="72">
        <f t="shared" si="70"/>
        <v>-360</v>
      </c>
      <c r="C2254" s="70">
        <v>2253</v>
      </c>
      <c r="E2254" s="66">
        <v>360</v>
      </c>
      <c r="F2254" s="85">
        <v>45913</v>
      </c>
      <c r="G2254" s="64" t="s">
        <v>1043</v>
      </c>
      <c r="H2254"/>
      <c r="I2254"/>
    </row>
    <row r="2255" spans="1:9" x14ac:dyDescent="0.35">
      <c r="A2255" s="71">
        <f t="shared" si="71"/>
        <v>135816.09999999998</v>
      </c>
      <c r="B2255" s="72">
        <f t="shared" si="70"/>
        <v>-30</v>
      </c>
      <c r="C2255" s="70">
        <v>2254</v>
      </c>
      <c r="E2255" s="66">
        <v>30</v>
      </c>
      <c r="F2255" s="85">
        <v>45914</v>
      </c>
      <c r="G2255" s="64" t="s">
        <v>1364</v>
      </c>
      <c r="H2255"/>
      <c r="I2255"/>
    </row>
    <row r="2256" spans="1:9" x14ac:dyDescent="0.35">
      <c r="A2256" s="71">
        <f t="shared" si="71"/>
        <v>105816.09999999998</v>
      </c>
      <c r="B2256" s="72">
        <f t="shared" si="70"/>
        <v>-30000</v>
      </c>
      <c r="C2256" s="70">
        <v>2255</v>
      </c>
      <c r="E2256" s="66">
        <v>30000</v>
      </c>
      <c r="F2256" s="85">
        <v>45914</v>
      </c>
      <c r="G2256" s="64" t="s">
        <v>13</v>
      </c>
      <c r="H2256"/>
      <c r="I2256"/>
    </row>
    <row r="2257" spans="1:9" x14ac:dyDescent="0.35">
      <c r="A2257" s="71">
        <f t="shared" si="71"/>
        <v>104316.09999999998</v>
      </c>
      <c r="B2257" s="72">
        <f t="shared" si="70"/>
        <v>-1500</v>
      </c>
      <c r="C2257" s="70">
        <v>2256</v>
      </c>
      <c r="E2257" s="66">
        <v>1500</v>
      </c>
      <c r="F2257" s="85">
        <v>45914</v>
      </c>
      <c r="G2257" s="64" t="s">
        <v>759</v>
      </c>
      <c r="H2257"/>
      <c r="I2257"/>
    </row>
    <row r="2258" spans="1:9" x14ac:dyDescent="0.35">
      <c r="A2258" s="71">
        <f t="shared" si="71"/>
        <v>136476.09999999998</v>
      </c>
      <c r="B2258" s="72">
        <f t="shared" si="70"/>
        <v>32160</v>
      </c>
      <c r="C2258" s="70">
        <v>2257</v>
      </c>
      <c r="D2258" s="65">
        <v>34160</v>
      </c>
      <c r="E2258" s="66">
        <v>2000</v>
      </c>
      <c r="F2258" s="85">
        <v>45914</v>
      </c>
      <c r="G2258" s="64" t="s">
        <v>1285</v>
      </c>
      <c r="H2258"/>
      <c r="I2258"/>
    </row>
    <row r="2259" spans="1:9" x14ac:dyDescent="0.35">
      <c r="A2259" s="71">
        <f t="shared" si="71"/>
        <v>136381.09999999998</v>
      </c>
      <c r="B2259" s="72">
        <f t="shared" si="70"/>
        <v>-95</v>
      </c>
      <c r="C2259" s="70">
        <v>2258</v>
      </c>
      <c r="E2259" s="66">
        <v>95</v>
      </c>
      <c r="F2259" s="85">
        <v>45914</v>
      </c>
      <c r="G2259" s="64" t="s">
        <v>1284</v>
      </c>
      <c r="H2259"/>
      <c r="I2259"/>
    </row>
    <row r="2260" spans="1:9" x14ac:dyDescent="0.35">
      <c r="A2260" s="71">
        <f t="shared" si="71"/>
        <v>136381.09999999998</v>
      </c>
      <c r="B2260" s="72">
        <f t="shared" si="70"/>
        <v>0</v>
      </c>
      <c r="C2260" s="70">
        <v>2259</v>
      </c>
      <c r="D2260" s="65">
        <v>2500</v>
      </c>
      <c r="E2260" s="66">
        <v>2500</v>
      </c>
      <c r="F2260" s="85">
        <v>45915</v>
      </c>
      <c r="G2260" s="64" t="s">
        <v>1286</v>
      </c>
      <c r="H2260"/>
      <c r="I2260"/>
    </row>
    <row r="2261" spans="1:9" x14ac:dyDescent="0.35">
      <c r="A2261" s="71">
        <f t="shared" si="71"/>
        <v>136281.09999999998</v>
      </c>
      <c r="B2261" s="72">
        <f t="shared" si="70"/>
        <v>-100</v>
      </c>
      <c r="C2261" s="70">
        <v>2260</v>
      </c>
      <c r="E2261" s="66">
        <v>100</v>
      </c>
      <c r="F2261" s="85">
        <v>45915</v>
      </c>
      <c r="G2261" s="64" t="s">
        <v>990</v>
      </c>
      <c r="H2261"/>
      <c r="I2261"/>
    </row>
    <row r="2262" spans="1:9" x14ac:dyDescent="0.35">
      <c r="A2262" s="71">
        <f t="shared" si="71"/>
        <v>135431.09999999998</v>
      </c>
      <c r="B2262" s="72">
        <f t="shared" si="70"/>
        <v>-850</v>
      </c>
      <c r="C2262" s="70">
        <v>2261</v>
      </c>
      <c r="E2262" s="66">
        <v>850</v>
      </c>
      <c r="F2262" s="85">
        <v>45915</v>
      </c>
      <c r="G2262" s="64" t="s">
        <v>1045</v>
      </c>
      <c r="H2262"/>
      <c r="I2262"/>
    </row>
    <row r="2263" spans="1:9" x14ac:dyDescent="0.35">
      <c r="A2263" s="71">
        <f t="shared" si="71"/>
        <v>142476.09999999998</v>
      </c>
      <c r="B2263" s="72">
        <f t="shared" si="70"/>
        <v>7045</v>
      </c>
      <c r="C2263" s="70">
        <v>2262</v>
      </c>
      <c r="D2263" s="65">
        <v>7200</v>
      </c>
      <c r="E2263" s="66">
        <v>155</v>
      </c>
      <c r="F2263" s="85">
        <v>45915</v>
      </c>
      <c r="G2263" s="64" t="s">
        <v>1289</v>
      </c>
      <c r="H2263"/>
      <c r="I2263"/>
    </row>
    <row r="2264" spans="1:9" x14ac:dyDescent="0.35">
      <c r="A2264" s="71">
        <f t="shared" si="71"/>
        <v>142276.09999999998</v>
      </c>
      <c r="B2264" s="72">
        <f t="shared" si="70"/>
        <v>-200</v>
      </c>
      <c r="C2264" s="70">
        <v>2263</v>
      </c>
      <c r="E2264" s="66">
        <v>200</v>
      </c>
      <c r="F2264" s="85">
        <v>45915</v>
      </c>
      <c r="G2264" s="64" t="s">
        <v>752</v>
      </c>
      <c r="H2264"/>
      <c r="I2264"/>
    </row>
    <row r="2265" spans="1:9" x14ac:dyDescent="0.35">
      <c r="A2265" s="71">
        <f t="shared" si="71"/>
        <v>142176.09999999998</v>
      </c>
      <c r="B2265" s="72">
        <f t="shared" si="70"/>
        <v>-100</v>
      </c>
      <c r="C2265" s="70">
        <v>2264</v>
      </c>
      <c r="E2265" s="66">
        <v>100</v>
      </c>
      <c r="F2265" s="85">
        <v>45915</v>
      </c>
      <c r="G2265" s="64" t="s">
        <v>1069</v>
      </c>
      <c r="H2265"/>
      <c r="I2265"/>
    </row>
    <row r="2266" spans="1:9" x14ac:dyDescent="0.35">
      <c r="A2266" s="71">
        <f t="shared" si="71"/>
        <v>142146.09999999998</v>
      </c>
      <c r="B2266" s="72">
        <f t="shared" si="70"/>
        <v>-30</v>
      </c>
      <c r="C2266" s="70">
        <v>2265</v>
      </c>
      <c r="E2266" s="66">
        <v>30</v>
      </c>
      <c r="F2266" s="85">
        <v>45915</v>
      </c>
      <c r="G2266" s="64" t="s">
        <v>1287</v>
      </c>
      <c r="H2266"/>
      <c r="I2266"/>
    </row>
    <row r="2267" spans="1:9" x14ac:dyDescent="0.35">
      <c r="A2267" s="71">
        <f t="shared" si="71"/>
        <v>142146.09999999998</v>
      </c>
      <c r="B2267" s="72">
        <f t="shared" si="70"/>
        <v>0</v>
      </c>
      <c r="C2267" s="70">
        <v>2266</v>
      </c>
      <c r="D2267" s="65">
        <v>100</v>
      </c>
      <c r="E2267" s="66">
        <v>100</v>
      </c>
      <c r="F2267" s="85">
        <v>45915</v>
      </c>
      <c r="G2267" s="64" t="s">
        <v>1318</v>
      </c>
      <c r="H2267"/>
      <c r="I2267"/>
    </row>
    <row r="2268" spans="1:9" x14ac:dyDescent="0.35">
      <c r="A2268" s="71">
        <f t="shared" si="71"/>
        <v>141976.09999999998</v>
      </c>
      <c r="B2268" s="72">
        <f t="shared" si="70"/>
        <v>-170</v>
      </c>
      <c r="C2268" s="70">
        <v>2267</v>
      </c>
      <c r="E2268" s="66">
        <v>170</v>
      </c>
      <c r="F2268" s="85">
        <v>45916</v>
      </c>
      <c r="G2268" s="64" t="s">
        <v>1288</v>
      </c>
      <c r="H2268"/>
      <c r="I2268"/>
    </row>
    <row r="2269" spans="1:9" x14ac:dyDescent="0.35">
      <c r="A2269" s="71">
        <f t="shared" si="71"/>
        <v>141676.09999999998</v>
      </c>
      <c r="B2269" s="72">
        <f t="shared" si="70"/>
        <v>-300</v>
      </c>
      <c r="C2269" s="70">
        <v>2268</v>
      </c>
      <c r="E2269" s="66">
        <v>300</v>
      </c>
      <c r="F2269" s="85">
        <v>45916</v>
      </c>
      <c r="G2269" s="64" t="s">
        <v>851</v>
      </c>
      <c r="H2269"/>
      <c r="I2269"/>
    </row>
    <row r="2270" spans="1:9" x14ac:dyDescent="0.35">
      <c r="A2270" s="71">
        <f t="shared" si="71"/>
        <v>141546.09999999998</v>
      </c>
      <c r="B2270" s="72">
        <f t="shared" si="70"/>
        <v>-130</v>
      </c>
      <c r="C2270" s="70">
        <v>2269</v>
      </c>
      <c r="E2270" s="66">
        <v>130</v>
      </c>
      <c r="F2270" s="85">
        <v>45916</v>
      </c>
      <c r="G2270" s="64" t="s">
        <v>250</v>
      </c>
      <c r="H2270"/>
      <c r="I2270"/>
    </row>
    <row r="2271" spans="1:9" x14ac:dyDescent="0.35">
      <c r="A2271" s="71">
        <f t="shared" si="71"/>
        <v>141076.09999999998</v>
      </c>
      <c r="B2271" s="72">
        <f t="shared" si="70"/>
        <v>-470</v>
      </c>
      <c r="C2271" s="70">
        <v>2270</v>
      </c>
      <c r="E2271" s="66">
        <v>470</v>
      </c>
      <c r="F2271" s="85">
        <v>45916</v>
      </c>
      <c r="G2271" s="64" t="s">
        <v>1045</v>
      </c>
      <c r="H2271"/>
      <c r="I2271"/>
    </row>
    <row r="2272" spans="1:9" x14ac:dyDescent="0.35">
      <c r="A2272" s="71">
        <f t="shared" si="71"/>
        <v>176641.09999999998</v>
      </c>
      <c r="B2272" s="72">
        <f t="shared" si="70"/>
        <v>35565</v>
      </c>
      <c r="C2272" s="70">
        <v>2271</v>
      </c>
      <c r="D2272" s="65">
        <v>38940</v>
      </c>
      <c r="E2272" s="66">
        <v>3375</v>
      </c>
      <c r="F2272" s="85">
        <v>45916</v>
      </c>
      <c r="G2272" s="64" t="s">
        <v>1043</v>
      </c>
      <c r="H2272"/>
      <c r="I2272"/>
    </row>
    <row r="2273" spans="1:9" x14ac:dyDescent="0.35">
      <c r="A2273" s="71">
        <f t="shared" si="71"/>
        <v>176641.09999999998</v>
      </c>
      <c r="B2273" s="72">
        <f t="shared" si="70"/>
        <v>0</v>
      </c>
      <c r="C2273" s="70">
        <v>2272</v>
      </c>
      <c r="D2273" s="65">
        <v>200</v>
      </c>
      <c r="E2273" s="66">
        <v>200</v>
      </c>
      <c r="F2273" s="85">
        <v>45916</v>
      </c>
      <c r="G2273" s="64" t="s">
        <v>1355</v>
      </c>
      <c r="H2273"/>
      <c r="I2273"/>
    </row>
    <row r="2274" spans="1:9" x14ac:dyDescent="0.35">
      <c r="A2274" s="71">
        <f t="shared" si="71"/>
        <v>76641.099999999977</v>
      </c>
      <c r="B2274" s="72">
        <f t="shared" si="70"/>
        <v>-100000</v>
      </c>
      <c r="C2274" s="70">
        <v>2273</v>
      </c>
      <c r="E2274" s="66">
        <v>100000</v>
      </c>
      <c r="F2274" s="85">
        <v>45916</v>
      </c>
      <c r="G2274" s="64" t="s">
        <v>1035</v>
      </c>
      <c r="H2274"/>
      <c r="I2274"/>
    </row>
    <row r="2275" spans="1:9" x14ac:dyDescent="0.35">
      <c r="A2275" s="71">
        <f t="shared" si="71"/>
        <v>76291.099999999977</v>
      </c>
      <c r="B2275" s="72">
        <f t="shared" si="70"/>
        <v>-350</v>
      </c>
      <c r="C2275" s="70">
        <v>2274</v>
      </c>
      <c r="E2275" s="66">
        <v>350</v>
      </c>
      <c r="F2275" s="85">
        <v>45916</v>
      </c>
      <c r="G2275" s="64" t="s">
        <v>1290</v>
      </c>
      <c r="H2275"/>
      <c r="I2275"/>
    </row>
    <row r="2276" spans="1:9" x14ac:dyDescent="0.35">
      <c r="A2276" s="71">
        <f t="shared" si="71"/>
        <v>76191.099999999977</v>
      </c>
      <c r="B2276" s="72">
        <f t="shared" si="70"/>
        <v>-100</v>
      </c>
      <c r="C2276" s="70">
        <v>2275</v>
      </c>
      <c r="E2276" s="66">
        <v>100</v>
      </c>
      <c r="F2276" s="85">
        <v>45916</v>
      </c>
      <c r="G2276" s="64" t="s">
        <v>437</v>
      </c>
      <c r="H2276"/>
      <c r="I2276"/>
    </row>
    <row r="2277" spans="1:9" x14ac:dyDescent="0.35">
      <c r="A2277" s="71">
        <f t="shared" si="71"/>
        <v>75991.099999999977</v>
      </c>
      <c r="B2277" s="72">
        <f t="shared" si="70"/>
        <v>-200</v>
      </c>
      <c r="C2277" s="70">
        <v>2276</v>
      </c>
      <c r="E2277" s="66">
        <v>200</v>
      </c>
      <c r="F2277" s="85">
        <v>45917</v>
      </c>
      <c r="G2277" s="64" t="s">
        <v>1162</v>
      </c>
      <c r="H2277"/>
      <c r="I2277"/>
    </row>
    <row r="2278" spans="1:9" x14ac:dyDescent="0.35">
      <c r="A2278" s="71">
        <f t="shared" si="71"/>
        <v>93771.099999999977</v>
      </c>
      <c r="B2278" s="72">
        <f t="shared" si="70"/>
        <v>17780</v>
      </c>
      <c r="C2278" s="70">
        <v>2277</v>
      </c>
      <c r="D2278" s="65">
        <v>18100</v>
      </c>
      <c r="E2278" s="66">
        <v>320</v>
      </c>
      <c r="F2278" s="85">
        <v>45917</v>
      </c>
      <c r="G2278" s="64" t="s">
        <v>75</v>
      </c>
      <c r="H2278"/>
      <c r="I2278"/>
    </row>
    <row r="2279" spans="1:9" x14ac:dyDescent="0.35">
      <c r="A2279" s="71">
        <f t="shared" si="71"/>
        <v>93321.099999999977</v>
      </c>
      <c r="B2279" s="72">
        <f t="shared" si="70"/>
        <v>-450</v>
      </c>
      <c r="C2279" s="70">
        <v>2278</v>
      </c>
      <c r="D2279" s="65">
        <v>10</v>
      </c>
      <c r="E2279" s="66">
        <v>460</v>
      </c>
      <c r="F2279" s="85">
        <v>45917</v>
      </c>
      <c r="G2279" s="64" t="s">
        <v>1291</v>
      </c>
      <c r="H2279"/>
      <c r="I2279"/>
    </row>
    <row r="2280" spans="1:9" x14ac:dyDescent="0.35">
      <c r="A2280" s="71">
        <f t="shared" si="71"/>
        <v>92921.099999999977</v>
      </c>
      <c r="B2280" s="72">
        <f t="shared" si="70"/>
        <v>-400</v>
      </c>
      <c r="C2280" s="70">
        <v>2279</v>
      </c>
      <c r="E2280" s="66">
        <v>400</v>
      </c>
      <c r="F2280" s="85">
        <v>45917</v>
      </c>
      <c r="G2280" s="64" t="s">
        <v>752</v>
      </c>
      <c r="H2280"/>
      <c r="I2280"/>
    </row>
    <row r="2281" spans="1:9" x14ac:dyDescent="0.35">
      <c r="A2281" s="71">
        <f t="shared" si="71"/>
        <v>92821.099999999977</v>
      </c>
      <c r="B2281" s="72">
        <f t="shared" si="70"/>
        <v>-100</v>
      </c>
      <c r="C2281" s="70">
        <v>2280</v>
      </c>
      <c r="E2281" s="66">
        <v>100</v>
      </c>
      <c r="F2281" s="85">
        <v>45917</v>
      </c>
      <c r="G2281" s="64" t="s">
        <v>437</v>
      </c>
      <c r="H2281"/>
      <c r="I2281"/>
    </row>
    <row r="2282" spans="1:9" x14ac:dyDescent="0.35">
      <c r="A2282" s="71">
        <f t="shared" si="71"/>
        <v>91811.099999999977</v>
      </c>
      <c r="B2282" s="72">
        <f t="shared" si="70"/>
        <v>-1010</v>
      </c>
      <c r="C2282" s="70">
        <v>2281</v>
      </c>
      <c r="E2282" s="66">
        <v>1010</v>
      </c>
      <c r="F2282" s="85">
        <v>45917</v>
      </c>
      <c r="G2282" s="64" t="s">
        <v>64</v>
      </c>
      <c r="H2282"/>
      <c r="I2282"/>
    </row>
    <row r="2283" spans="1:9" x14ac:dyDescent="0.35">
      <c r="A2283" s="71">
        <f t="shared" si="71"/>
        <v>90651.099999999977</v>
      </c>
      <c r="B2283" s="72">
        <f t="shared" si="70"/>
        <v>-1160</v>
      </c>
      <c r="C2283" s="70">
        <v>2282</v>
      </c>
      <c r="E2283" s="66">
        <v>1160</v>
      </c>
      <c r="F2283" s="85">
        <v>45918</v>
      </c>
      <c r="G2283" s="64" t="s">
        <v>541</v>
      </c>
      <c r="H2283"/>
      <c r="I2283"/>
    </row>
    <row r="2284" spans="1:9" x14ac:dyDescent="0.35">
      <c r="A2284" s="71">
        <f t="shared" si="71"/>
        <v>93551.099999999977</v>
      </c>
      <c r="B2284" s="72">
        <f t="shared" si="70"/>
        <v>2900</v>
      </c>
      <c r="C2284" s="70">
        <v>2283</v>
      </c>
      <c r="D2284" s="65">
        <v>3000</v>
      </c>
      <c r="E2284" s="66">
        <v>100</v>
      </c>
      <c r="F2284" s="85">
        <v>45918</v>
      </c>
      <c r="G2284" s="64" t="s">
        <v>437</v>
      </c>
      <c r="H2284"/>
      <c r="I2284"/>
    </row>
    <row r="2285" spans="1:9" x14ac:dyDescent="0.35">
      <c r="A2285" s="71">
        <f t="shared" si="71"/>
        <v>93351.099999999977</v>
      </c>
      <c r="B2285" s="72">
        <f t="shared" si="70"/>
        <v>-200</v>
      </c>
      <c r="C2285" s="70">
        <v>2284</v>
      </c>
      <c r="E2285" s="66">
        <v>200</v>
      </c>
      <c r="F2285" s="85">
        <v>45918</v>
      </c>
      <c r="G2285" s="64" t="s">
        <v>752</v>
      </c>
      <c r="H2285"/>
      <c r="I2285"/>
    </row>
    <row r="2286" spans="1:9" x14ac:dyDescent="0.35">
      <c r="A2286" s="71">
        <f t="shared" si="71"/>
        <v>92916.099999999977</v>
      </c>
      <c r="B2286" s="72">
        <f t="shared" si="70"/>
        <v>-435</v>
      </c>
      <c r="C2286" s="70">
        <v>2285</v>
      </c>
      <c r="E2286" s="66">
        <v>435</v>
      </c>
      <c r="F2286" s="85">
        <v>45918</v>
      </c>
      <c r="G2286" s="64" t="s">
        <v>1292</v>
      </c>
      <c r="H2286"/>
      <c r="I2286"/>
    </row>
    <row r="2287" spans="1:9" x14ac:dyDescent="0.35">
      <c r="A2287" s="71">
        <f t="shared" si="71"/>
        <v>99906.099999999977</v>
      </c>
      <c r="B2287" s="72">
        <f t="shared" si="70"/>
        <v>6990</v>
      </c>
      <c r="C2287" s="70">
        <v>2286</v>
      </c>
      <c r="D2287" s="65">
        <v>6990</v>
      </c>
      <c r="F2287" s="85">
        <v>45920</v>
      </c>
      <c r="H2287"/>
      <c r="I2287"/>
    </row>
    <row r="2288" spans="1:9" x14ac:dyDescent="0.35">
      <c r="A2288" s="71">
        <f t="shared" si="71"/>
        <v>99436.099999999977</v>
      </c>
      <c r="B2288" s="72">
        <f t="shared" si="70"/>
        <v>-470</v>
      </c>
      <c r="C2288" s="70">
        <v>2287</v>
      </c>
      <c r="E2288" s="66">
        <v>470</v>
      </c>
      <c r="F2288" s="85">
        <v>45920</v>
      </c>
      <c r="G2288" s="64" t="s">
        <v>541</v>
      </c>
      <c r="H2288"/>
      <c r="I2288"/>
    </row>
    <row r="2289" spans="1:9" x14ac:dyDescent="0.35">
      <c r="A2289" s="71">
        <f t="shared" si="71"/>
        <v>99416.099999999977</v>
      </c>
      <c r="B2289" s="72">
        <f t="shared" si="70"/>
        <v>-20</v>
      </c>
      <c r="C2289" s="70">
        <v>2288</v>
      </c>
      <c r="E2289" s="66">
        <v>20</v>
      </c>
      <c r="F2289" s="85">
        <v>45920</v>
      </c>
      <c r="G2289" s="64" t="s">
        <v>990</v>
      </c>
      <c r="H2289"/>
      <c r="I2289"/>
    </row>
    <row r="2290" spans="1:9" x14ac:dyDescent="0.35">
      <c r="A2290" s="71">
        <f t="shared" si="71"/>
        <v>98496.099999999977</v>
      </c>
      <c r="B2290" s="72">
        <f t="shared" si="70"/>
        <v>-920</v>
      </c>
      <c r="C2290" s="70">
        <v>2289</v>
      </c>
      <c r="E2290" s="66">
        <v>920</v>
      </c>
      <c r="F2290" s="85">
        <v>45920</v>
      </c>
      <c r="G2290" s="64" t="s">
        <v>1237</v>
      </c>
      <c r="H2290"/>
      <c r="I2290"/>
    </row>
    <row r="2291" spans="1:9" x14ac:dyDescent="0.35">
      <c r="A2291" s="71">
        <f t="shared" si="71"/>
        <v>96616.099999999977</v>
      </c>
      <c r="B2291" s="72">
        <f t="shared" si="70"/>
        <v>-1880</v>
      </c>
      <c r="C2291" s="70">
        <v>2290</v>
      </c>
      <c r="E2291" s="66">
        <v>1880</v>
      </c>
      <c r="F2291" s="85">
        <v>45920</v>
      </c>
      <c r="G2291" s="64" t="s">
        <v>244</v>
      </c>
      <c r="H2291"/>
      <c r="I2291"/>
    </row>
    <row r="2292" spans="1:9" x14ac:dyDescent="0.35">
      <c r="A2292" s="71">
        <f t="shared" si="71"/>
        <v>95916.099999999977</v>
      </c>
      <c r="B2292" s="72">
        <f t="shared" si="70"/>
        <v>-700</v>
      </c>
      <c r="C2292" s="70">
        <v>2291</v>
      </c>
      <c r="E2292" s="66">
        <v>700</v>
      </c>
      <c r="F2292" s="85">
        <v>45920</v>
      </c>
      <c r="G2292" s="64" t="s">
        <v>1293</v>
      </c>
      <c r="H2292"/>
      <c r="I2292"/>
    </row>
    <row r="2293" spans="1:9" x14ac:dyDescent="0.35">
      <c r="A2293" s="71">
        <f t="shared" si="71"/>
        <v>142034.09999999998</v>
      </c>
      <c r="B2293" s="72">
        <f t="shared" si="70"/>
        <v>46118</v>
      </c>
      <c r="C2293" s="70">
        <v>2292</v>
      </c>
      <c r="D2293" s="65">
        <v>46318</v>
      </c>
      <c r="E2293" s="66">
        <v>200</v>
      </c>
      <c r="F2293" s="85">
        <v>45921</v>
      </c>
      <c r="G2293" s="64" t="s">
        <v>1162</v>
      </c>
      <c r="H2293"/>
      <c r="I2293"/>
    </row>
    <row r="2294" spans="1:9" x14ac:dyDescent="0.35">
      <c r="A2294" s="71">
        <f t="shared" si="71"/>
        <v>141934.09999999998</v>
      </c>
      <c r="B2294" s="72">
        <f t="shared" si="70"/>
        <v>-100</v>
      </c>
      <c r="C2294" s="70">
        <v>2293</v>
      </c>
      <c r="E2294" s="66">
        <v>100</v>
      </c>
      <c r="F2294" s="85">
        <v>45921</v>
      </c>
      <c r="G2294" s="64" t="s">
        <v>437</v>
      </c>
      <c r="H2294"/>
      <c r="I2294"/>
    </row>
    <row r="2295" spans="1:9" x14ac:dyDescent="0.35">
      <c r="A2295" s="71">
        <f t="shared" si="71"/>
        <v>141834.09999999998</v>
      </c>
      <c r="B2295" s="72">
        <f t="shared" si="70"/>
        <v>-100</v>
      </c>
      <c r="C2295" s="70">
        <v>2294</v>
      </c>
      <c r="E2295" s="66">
        <v>100</v>
      </c>
      <c r="F2295" s="85">
        <v>45921</v>
      </c>
      <c r="G2295" s="64" t="s">
        <v>752</v>
      </c>
      <c r="H2295"/>
      <c r="I2295"/>
    </row>
    <row r="2296" spans="1:9" x14ac:dyDescent="0.35">
      <c r="A2296" s="71">
        <f t="shared" si="71"/>
        <v>143894.09999999998</v>
      </c>
      <c r="B2296" s="72">
        <f t="shared" si="70"/>
        <v>2060</v>
      </c>
      <c r="C2296" s="70">
        <v>2295</v>
      </c>
      <c r="D2296" s="65">
        <v>2060</v>
      </c>
      <c r="F2296" s="85">
        <v>45922</v>
      </c>
      <c r="H2296"/>
      <c r="I2296"/>
    </row>
    <row r="2297" spans="1:9" x14ac:dyDescent="0.35">
      <c r="A2297" s="71">
        <f t="shared" si="71"/>
        <v>93894.099999999977</v>
      </c>
      <c r="B2297" s="72">
        <f t="shared" si="70"/>
        <v>-50000</v>
      </c>
      <c r="C2297" s="70">
        <v>2296</v>
      </c>
      <c r="E2297" s="66">
        <v>50000</v>
      </c>
      <c r="F2297" s="85">
        <v>45922</v>
      </c>
      <c r="G2297" s="64" t="s">
        <v>979</v>
      </c>
      <c r="H2297"/>
      <c r="I2297"/>
    </row>
    <row r="2298" spans="1:9" x14ac:dyDescent="0.35">
      <c r="A2298" s="71">
        <f t="shared" si="71"/>
        <v>93574.099999999977</v>
      </c>
      <c r="B2298" s="72">
        <f t="shared" si="70"/>
        <v>-320</v>
      </c>
      <c r="C2298" s="70">
        <v>2297</v>
      </c>
      <c r="E2298" s="66">
        <v>320</v>
      </c>
      <c r="F2298" s="85">
        <v>45922</v>
      </c>
      <c r="G2298" s="64" t="s">
        <v>75</v>
      </c>
      <c r="H2298"/>
      <c r="I2298"/>
    </row>
    <row r="2299" spans="1:9" x14ac:dyDescent="0.35">
      <c r="A2299" s="71">
        <f t="shared" si="71"/>
        <v>93554.099999999977</v>
      </c>
      <c r="B2299" s="72">
        <f t="shared" si="70"/>
        <v>-20</v>
      </c>
      <c r="C2299" s="70">
        <v>2298</v>
      </c>
      <c r="E2299" s="66">
        <v>20</v>
      </c>
      <c r="F2299" s="85">
        <v>45922</v>
      </c>
      <c r="G2299" s="64" t="s">
        <v>1294</v>
      </c>
      <c r="H2299"/>
      <c r="I2299"/>
    </row>
    <row r="2300" spans="1:9" x14ac:dyDescent="0.35">
      <c r="A2300" s="71">
        <f t="shared" si="71"/>
        <v>93454.099999999977</v>
      </c>
      <c r="B2300" s="72">
        <f t="shared" si="70"/>
        <v>-100</v>
      </c>
      <c r="C2300" s="70">
        <v>2299</v>
      </c>
      <c r="E2300" s="66">
        <v>100</v>
      </c>
      <c r="F2300" s="85">
        <v>45922</v>
      </c>
      <c r="G2300" s="64" t="s">
        <v>437</v>
      </c>
      <c r="H2300"/>
      <c r="I2300"/>
    </row>
    <row r="2301" spans="1:9" x14ac:dyDescent="0.35">
      <c r="A2301" s="71">
        <f t="shared" si="71"/>
        <v>93354.099999999977</v>
      </c>
      <c r="B2301" s="72">
        <f t="shared" si="70"/>
        <v>-100</v>
      </c>
      <c r="C2301" s="70">
        <v>2300</v>
      </c>
      <c r="E2301" s="66">
        <v>100</v>
      </c>
      <c r="F2301" s="85">
        <v>45923</v>
      </c>
      <c r="G2301" s="64" t="s">
        <v>1162</v>
      </c>
      <c r="H2301"/>
      <c r="I2301"/>
    </row>
    <row r="2302" spans="1:9" x14ac:dyDescent="0.35">
      <c r="A2302" s="71">
        <f t="shared" si="71"/>
        <v>93319.099999999977</v>
      </c>
      <c r="B2302" s="72">
        <f t="shared" si="70"/>
        <v>-35</v>
      </c>
      <c r="C2302" s="70">
        <v>2301</v>
      </c>
      <c r="E2302" s="66">
        <v>35</v>
      </c>
      <c r="F2302" s="85">
        <v>45923</v>
      </c>
      <c r="G2302" s="64" t="s">
        <v>1251</v>
      </c>
      <c r="H2302"/>
      <c r="I2302"/>
    </row>
    <row r="2303" spans="1:9" x14ac:dyDescent="0.35">
      <c r="A2303" s="71">
        <f t="shared" si="71"/>
        <v>122919.09999999998</v>
      </c>
      <c r="B2303" s="72">
        <f t="shared" si="70"/>
        <v>29600</v>
      </c>
      <c r="C2303" s="70">
        <v>2302</v>
      </c>
      <c r="D2303" s="65">
        <v>29960</v>
      </c>
      <c r="E2303" s="66">
        <v>360</v>
      </c>
      <c r="F2303" s="85">
        <v>45923</v>
      </c>
      <c r="G2303" s="64" t="s">
        <v>437</v>
      </c>
      <c r="H2303"/>
      <c r="I2303"/>
    </row>
    <row r="2304" spans="1:9" x14ac:dyDescent="0.35">
      <c r="A2304" s="71">
        <f t="shared" si="71"/>
        <v>118919.09999999998</v>
      </c>
      <c r="B2304" s="72">
        <f t="shared" si="70"/>
        <v>-4000</v>
      </c>
      <c r="C2304" s="70">
        <v>2303</v>
      </c>
      <c r="E2304" s="66">
        <v>4000</v>
      </c>
      <c r="F2304" s="85">
        <v>45924</v>
      </c>
      <c r="G2304" s="64" t="s">
        <v>174</v>
      </c>
      <c r="H2304"/>
      <c r="I2304"/>
    </row>
    <row r="2305" spans="1:9" x14ac:dyDescent="0.35">
      <c r="A2305" s="71">
        <f t="shared" si="71"/>
        <v>118789.09999999998</v>
      </c>
      <c r="B2305" s="72">
        <f t="shared" si="70"/>
        <v>-130</v>
      </c>
      <c r="C2305" s="70">
        <v>2304</v>
      </c>
      <c r="E2305" s="66">
        <v>130</v>
      </c>
      <c r="F2305" s="85">
        <v>45924</v>
      </c>
      <c r="G2305" s="64" t="s">
        <v>65</v>
      </c>
      <c r="H2305"/>
      <c r="I2305"/>
    </row>
    <row r="2306" spans="1:9" x14ac:dyDescent="0.35">
      <c r="A2306" s="71">
        <f t="shared" si="71"/>
        <v>135599.09999999998</v>
      </c>
      <c r="B2306" s="72">
        <f t="shared" si="70"/>
        <v>16810</v>
      </c>
      <c r="C2306" s="70">
        <v>2305</v>
      </c>
      <c r="D2306" s="65">
        <v>16810</v>
      </c>
      <c r="F2306" s="85">
        <v>45924</v>
      </c>
      <c r="G2306" s="64" t="s">
        <v>1481</v>
      </c>
      <c r="H2306"/>
      <c r="I2306"/>
    </row>
    <row r="2307" spans="1:9" x14ac:dyDescent="0.35">
      <c r="A2307" s="71">
        <f t="shared" si="71"/>
        <v>135419.09999999998</v>
      </c>
      <c r="B2307" s="72">
        <f t="shared" ref="B2307:B2370" si="72">SUM(D2307-E2307)</f>
        <v>-180</v>
      </c>
      <c r="C2307" s="70">
        <v>2306</v>
      </c>
      <c r="E2307" s="66">
        <v>180</v>
      </c>
      <c r="F2307" s="85">
        <v>45924</v>
      </c>
      <c r="G2307" s="64" t="s">
        <v>437</v>
      </c>
      <c r="H2307"/>
      <c r="I2307"/>
    </row>
    <row r="2308" spans="1:9" x14ac:dyDescent="0.35">
      <c r="A2308" s="71">
        <f t="shared" ref="A2308:A2371" si="73">SUM(A2307+B2308)</f>
        <v>133869.09999999998</v>
      </c>
      <c r="B2308" s="72">
        <f t="shared" si="72"/>
        <v>-1550</v>
      </c>
      <c r="C2308" s="70">
        <v>2307</v>
      </c>
      <c r="E2308" s="66">
        <v>1550</v>
      </c>
      <c r="F2308" s="85">
        <v>45925</v>
      </c>
      <c r="G2308" s="64" t="s">
        <v>1301</v>
      </c>
      <c r="H2308"/>
      <c r="I2308"/>
    </row>
    <row r="2309" spans="1:9" x14ac:dyDescent="0.35">
      <c r="A2309" s="71">
        <f t="shared" si="73"/>
        <v>133369.09999999998</v>
      </c>
      <c r="B2309" s="72">
        <f t="shared" si="72"/>
        <v>-500</v>
      </c>
      <c r="C2309" s="70">
        <v>2308</v>
      </c>
      <c r="E2309" s="66">
        <v>500</v>
      </c>
      <c r="F2309" s="85">
        <v>45925</v>
      </c>
      <c r="G2309" s="64" t="s">
        <v>541</v>
      </c>
      <c r="H2309"/>
      <c r="I2309"/>
    </row>
    <row r="2310" spans="1:9" x14ac:dyDescent="0.35">
      <c r="A2310" s="71">
        <f t="shared" si="73"/>
        <v>135789.09999999998</v>
      </c>
      <c r="B2310" s="72">
        <f t="shared" si="72"/>
        <v>2420</v>
      </c>
      <c r="C2310" s="70">
        <v>2309</v>
      </c>
      <c r="D2310" s="65">
        <v>2900</v>
      </c>
      <c r="E2310" s="66">
        <v>480</v>
      </c>
      <c r="F2310" s="85">
        <v>45925</v>
      </c>
      <c r="G2310" s="64" t="s">
        <v>1302</v>
      </c>
      <c r="H2310"/>
      <c r="I2310"/>
    </row>
    <row r="2311" spans="1:9" x14ac:dyDescent="0.35">
      <c r="A2311" s="71">
        <f t="shared" si="73"/>
        <v>135715.09999999998</v>
      </c>
      <c r="B2311" s="72">
        <f t="shared" si="72"/>
        <v>-74</v>
      </c>
      <c r="C2311" s="70">
        <v>2310</v>
      </c>
      <c r="E2311" s="66">
        <v>74</v>
      </c>
      <c r="F2311" s="85">
        <v>45925</v>
      </c>
      <c r="G2311" s="64" t="s">
        <v>99</v>
      </c>
      <c r="H2311"/>
      <c r="I2311"/>
    </row>
    <row r="2312" spans="1:9" x14ac:dyDescent="0.35">
      <c r="A2312" s="71">
        <f t="shared" si="73"/>
        <v>135665.09999999998</v>
      </c>
      <c r="B2312" s="72">
        <f t="shared" si="72"/>
        <v>-50</v>
      </c>
      <c r="C2312" s="70">
        <v>2311</v>
      </c>
      <c r="E2312" s="66">
        <v>50</v>
      </c>
      <c r="F2312" s="85">
        <v>45925</v>
      </c>
      <c r="G2312" s="64" t="s">
        <v>1303</v>
      </c>
      <c r="H2312"/>
      <c r="I2312"/>
    </row>
    <row r="2313" spans="1:9" x14ac:dyDescent="0.35">
      <c r="A2313" s="71">
        <f t="shared" si="73"/>
        <v>135575.09999999998</v>
      </c>
      <c r="B2313" s="72">
        <f t="shared" si="72"/>
        <v>-90</v>
      </c>
      <c r="C2313" s="70">
        <v>2312</v>
      </c>
      <c r="E2313" s="66">
        <v>90</v>
      </c>
      <c r="F2313" s="85">
        <v>45925</v>
      </c>
      <c r="G2313" s="64" t="s">
        <v>437</v>
      </c>
      <c r="H2313"/>
      <c r="I2313"/>
    </row>
    <row r="2314" spans="1:9" x14ac:dyDescent="0.35">
      <c r="A2314" s="71">
        <f t="shared" si="73"/>
        <v>135485.09999999998</v>
      </c>
      <c r="B2314" s="72">
        <f t="shared" si="72"/>
        <v>-90</v>
      </c>
      <c r="C2314" s="70">
        <v>2313</v>
      </c>
      <c r="E2314" s="66">
        <v>90</v>
      </c>
      <c r="F2314" s="85">
        <v>45925</v>
      </c>
      <c r="G2314" s="64" t="s">
        <v>1069</v>
      </c>
      <c r="H2314"/>
      <c r="I2314"/>
    </row>
    <row r="2315" spans="1:9" x14ac:dyDescent="0.35">
      <c r="A2315" s="71">
        <f t="shared" si="73"/>
        <v>135395.09999999998</v>
      </c>
      <c r="B2315" s="72">
        <f t="shared" si="72"/>
        <v>-90</v>
      </c>
      <c r="C2315" s="70">
        <v>2314</v>
      </c>
      <c r="E2315" s="66">
        <v>90</v>
      </c>
      <c r="F2315" s="85">
        <v>45925</v>
      </c>
      <c r="G2315" s="64" t="s">
        <v>752</v>
      </c>
      <c r="H2315"/>
      <c r="I2315"/>
    </row>
    <row r="2316" spans="1:9" x14ac:dyDescent="0.35">
      <c r="A2316" s="71">
        <f t="shared" si="73"/>
        <v>141665.09999999998</v>
      </c>
      <c r="B2316" s="72">
        <f t="shared" si="72"/>
        <v>6270</v>
      </c>
      <c r="C2316" s="70">
        <v>2315</v>
      </c>
      <c r="D2316" s="65">
        <v>6900</v>
      </c>
      <c r="E2316" s="66">
        <v>630</v>
      </c>
      <c r="F2316" s="85">
        <v>45927</v>
      </c>
      <c r="G2316" s="64" t="s">
        <v>437</v>
      </c>
      <c r="H2316"/>
      <c r="I2316"/>
    </row>
    <row r="2317" spans="1:9" x14ac:dyDescent="0.35">
      <c r="A2317" s="71">
        <f t="shared" si="73"/>
        <v>141615.09999999998</v>
      </c>
      <c r="B2317" s="72">
        <f t="shared" si="72"/>
        <v>-50</v>
      </c>
      <c r="C2317" s="70">
        <v>2316</v>
      </c>
      <c r="E2317" s="66">
        <v>50</v>
      </c>
      <c r="F2317" s="85">
        <v>45927</v>
      </c>
      <c r="G2317" s="64" t="s">
        <v>1305</v>
      </c>
      <c r="H2317"/>
      <c r="I2317"/>
    </row>
    <row r="2318" spans="1:9" x14ac:dyDescent="0.35">
      <c r="A2318" s="71">
        <f t="shared" si="73"/>
        <v>141525.09999999998</v>
      </c>
      <c r="B2318" s="72">
        <f t="shared" si="72"/>
        <v>-90</v>
      </c>
      <c r="C2318" s="70">
        <v>2317</v>
      </c>
      <c r="E2318" s="66">
        <v>90</v>
      </c>
      <c r="F2318" s="85">
        <v>45927</v>
      </c>
      <c r="G2318" s="64" t="s">
        <v>752</v>
      </c>
      <c r="H2318"/>
      <c r="I2318"/>
    </row>
    <row r="2319" spans="1:9" x14ac:dyDescent="0.35">
      <c r="A2319" s="71">
        <f t="shared" si="73"/>
        <v>141125.09999999998</v>
      </c>
      <c r="B2319" s="72">
        <f t="shared" si="72"/>
        <v>-400</v>
      </c>
      <c r="C2319" s="70">
        <v>2318</v>
      </c>
      <c r="E2319" s="66">
        <v>400</v>
      </c>
      <c r="F2319" s="85">
        <v>45927</v>
      </c>
      <c r="G2319" s="64" t="s">
        <v>1043</v>
      </c>
      <c r="H2319"/>
      <c r="I2319"/>
    </row>
    <row r="2320" spans="1:9" x14ac:dyDescent="0.35">
      <c r="A2320" s="71">
        <f t="shared" si="73"/>
        <v>141225.09999999998</v>
      </c>
      <c r="B2320" s="72">
        <f t="shared" si="72"/>
        <v>100</v>
      </c>
      <c r="C2320" s="70">
        <v>2319</v>
      </c>
      <c r="D2320" s="65">
        <v>100</v>
      </c>
      <c r="F2320" s="85">
        <v>45927</v>
      </c>
      <c r="G2320" s="64" t="s">
        <v>469</v>
      </c>
      <c r="H2320"/>
      <c r="I2320"/>
    </row>
    <row r="2321" spans="1:9" x14ac:dyDescent="0.35">
      <c r="A2321" s="71">
        <f t="shared" si="73"/>
        <v>141025.09999999998</v>
      </c>
      <c r="B2321" s="72">
        <f t="shared" si="72"/>
        <v>-200</v>
      </c>
      <c r="C2321" s="70">
        <v>2320</v>
      </c>
      <c r="E2321" s="66">
        <v>200</v>
      </c>
      <c r="F2321" s="85">
        <v>45928</v>
      </c>
      <c r="H2321"/>
      <c r="I2321"/>
    </row>
    <row r="2322" spans="1:9" x14ac:dyDescent="0.35">
      <c r="A2322" s="71">
        <f t="shared" si="73"/>
        <v>153715.09999999998</v>
      </c>
      <c r="B2322" s="72">
        <f t="shared" si="72"/>
        <v>12690</v>
      </c>
      <c r="C2322" s="70">
        <v>2321</v>
      </c>
      <c r="D2322" s="65">
        <v>12940</v>
      </c>
      <c r="E2322" s="66">
        <v>250</v>
      </c>
      <c r="F2322" s="85">
        <v>45928</v>
      </c>
      <c r="G2322" s="64" t="s">
        <v>1307</v>
      </c>
      <c r="H2322"/>
      <c r="I2322"/>
    </row>
    <row r="2323" spans="1:9" x14ac:dyDescent="0.35">
      <c r="A2323" s="71">
        <f t="shared" si="73"/>
        <v>150915.09999999998</v>
      </c>
      <c r="B2323" s="72">
        <f t="shared" si="72"/>
        <v>-2800</v>
      </c>
      <c r="C2323" s="70">
        <v>2322</v>
      </c>
      <c r="E2323" s="66">
        <v>2800</v>
      </c>
      <c r="F2323" s="85">
        <v>45928</v>
      </c>
      <c r="G2323" s="64" t="s">
        <v>1308</v>
      </c>
      <c r="H2323"/>
      <c r="I2323"/>
    </row>
    <row r="2324" spans="1:9" x14ac:dyDescent="0.35">
      <c r="A2324" s="71">
        <f t="shared" si="73"/>
        <v>148915.09999999998</v>
      </c>
      <c r="B2324" s="72">
        <f t="shared" si="72"/>
        <v>-2000</v>
      </c>
      <c r="C2324" s="70">
        <v>2323</v>
      </c>
      <c r="E2324" s="66">
        <v>2000</v>
      </c>
      <c r="F2324" s="85">
        <v>45928</v>
      </c>
      <c r="G2324" s="64" t="s">
        <v>177</v>
      </c>
      <c r="H2324"/>
      <c r="I2324"/>
    </row>
    <row r="2325" spans="1:9" x14ac:dyDescent="0.35">
      <c r="A2325" s="71">
        <f t="shared" si="73"/>
        <v>144115.09999999998</v>
      </c>
      <c r="B2325" s="72">
        <f t="shared" si="72"/>
        <v>-4800</v>
      </c>
      <c r="C2325" s="70">
        <v>2324</v>
      </c>
      <c r="E2325" s="66">
        <v>4800</v>
      </c>
      <c r="F2325" s="85">
        <v>45928</v>
      </c>
      <c r="G2325" s="64" t="s">
        <v>1259</v>
      </c>
      <c r="H2325"/>
      <c r="I2325"/>
    </row>
    <row r="2326" spans="1:9" x14ac:dyDescent="0.35">
      <c r="A2326" s="71">
        <f t="shared" si="73"/>
        <v>140315.09999999998</v>
      </c>
      <c r="B2326" s="72">
        <f t="shared" si="72"/>
        <v>-3800</v>
      </c>
      <c r="C2326" s="70">
        <v>2325</v>
      </c>
      <c r="E2326" s="66">
        <v>3800</v>
      </c>
      <c r="F2326" s="85">
        <v>45928</v>
      </c>
      <c r="G2326" s="64" t="s">
        <v>1309</v>
      </c>
      <c r="H2326"/>
      <c r="I2326"/>
    </row>
    <row r="2327" spans="1:9" x14ac:dyDescent="0.35">
      <c r="A2327" s="71">
        <f t="shared" si="73"/>
        <v>139915.09999999998</v>
      </c>
      <c r="B2327" s="72">
        <f t="shared" si="72"/>
        <v>-400</v>
      </c>
      <c r="C2327" s="70">
        <v>2326</v>
      </c>
      <c r="E2327" s="66">
        <v>400</v>
      </c>
      <c r="F2327" s="85">
        <v>45928</v>
      </c>
      <c r="G2327" s="64" t="s">
        <v>363</v>
      </c>
      <c r="H2327"/>
      <c r="I2327"/>
    </row>
    <row r="2328" spans="1:9" x14ac:dyDescent="0.35">
      <c r="A2328" s="71">
        <f t="shared" si="73"/>
        <v>139815.09999999998</v>
      </c>
      <c r="B2328" s="72">
        <f t="shared" si="72"/>
        <v>-100</v>
      </c>
      <c r="C2328" s="70">
        <v>2327</v>
      </c>
      <c r="E2328" s="66">
        <v>100</v>
      </c>
      <c r="F2328" s="85">
        <v>45928</v>
      </c>
      <c r="G2328" s="64" t="s">
        <v>332</v>
      </c>
      <c r="H2328"/>
      <c r="I2328"/>
    </row>
    <row r="2329" spans="1:9" x14ac:dyDescent="0.35">
      <c r="A2329" s="71">
        <f t="shared" si="73"/>
        <v>139725.09999999998</v>
      </c>
      <c r="B2329" s="72">
        <f t="shared" si="72"/>
        <v>-90</v>
      </c>
      <c r="C2329" s="70">
        <v>2328</v>
      </c>
      <c r="E2329" s="66">
        <v>90</v>
      </c>
      <c r="F2329" s="85">
        <v>45928</v>
      </c>
      <c r="G2329" s="64" t="s">
        <v>437</v>
      </c>
      <c r="H2329"/>
      <c r="I2329"/>
    </row>
    <row r="2330" spans="1:9" x14ac:dyDescent="0.35">
      <c r="A2330" s="71">
        <f t="shared" si="73"/>
        <v>137725.09999999998</v>
      </c>
      <c r="B2330" s="72">
        <f t="shared" si="72"/>
        <v>-2000</v>
      </c>
      <c r="C2330" s="70">
        <v>2329</v>
      </c>
      <c r="E2330" s="66">
        <v>2000</v>
      </c>
      <c r="F2330" s="85">
        <v>45929</v>
      </c>
      <c r="G2330" s="64" t="s">
        <v>64</v>
      </c>
      <c r="H2330"/>
      <c r="I2330"/>
    </row>
    <row r="2331" spans="1:9" x14ac:dyDescent="0.35">
      <c r="A2331" s="71">
        <f t="shared" si="73"/>
        <v>146025.09999999998</v>
      </c>
      <c r="B2331" s="72">
        <f t="shared" si="72"/>
        <v>8300</v>
      </c>
      <c r="C2331" s="70">
        <v>2330</v>
      </c>
      <c r="D2331" s="65">
        <v>8460</v>
      </c>
      <c r="E2331" s="66">
        <v>160</v>
      </c>
      <c r="F2331" s="85">
        <v>45929</v>
      </c>
      <c r="G2331" s="64" t="s">
        <v>961</v>
      </c>
      <c r="H2331"/>
      <c r="I2331"/>
    </row>
    <row r="2332" spans="1:9" x14ac:dyDescent="0.35">
      <c r="A2332" s="71">
        <f t="shared" si="73"/>
        <v>145305.09999999998</v>
      </c>
      <c r="B2332" s="72">
        <f t="shared" si="72"/>
        <v>-720</v>
      </c>
      <c r="C2332" s="70">
        <v>2331</v>
      </c>
      <c r="E2332" s="66">
        <v>720</v>
      </c>
      <c r="F2332" s="85">
        <v>45929</v>
      </c>
      <c r="G2332" s="64" t="s">
        <v>75</v>
      </c>
      <c r="H2332"/>
      <c r="I2332"/>
    </row>
    <row r="2333" spans="1:9" x14ac:dyDescent="0.35">
      <c r="A2333" s="71">
        <f t="shared" si="73"/>
        <v>145285.09999999998</v>
      </c>
      <c r="B2333" s="72">
        <f t="shared" si="72"/>
        <v>-20</v>
      </c>
      <c r="C2333" s="70">
        <v>2332</v>
      </c>
      <c r="E2333" s="66">
        <v>20</v>
      </c>
      <c r="F2333" s="85">
        <v>45929</v>
      </c>
      <c r="G2333" s="64" t="s">
        <v>296</v>
      </c>
      <c r="H2333"/>
      <c r="I2333"/>
    </row>
    <row r="2334" spans="1:9" x14ac:dyDescent="0.35">
      <c r="A2334" s="71">
        <f t="shared" si="73"/>
        <v>145105.09999999998</v>
      </c>
      <c r="B2334" s="72">
        <f t="shared" si="72"/>
        <v>-180</v>
      </c>
      <c r="C2334" s="70">
        <v>2333</v>
      </c>
      <c r="E2334" s="66">
        <v>180</v>
      </c>
      <c r="F2334" s="85">
        <v>45929</v>
      </c>
      <c r="G2334" s="64" t="s">
        <v>437</v>
      </c>
      <c r="H2334"/>
      <c r="I2334"/>
    </row>
    <row r="2335" spans="1:9" x14ac:dyDescent="0.35">
      <c r="A2335" s="71">
        <f t="shared" si="73"/>
        <v>174055.09999999998</v>
      </c>
      <c r="B2335" s="72">
        <f t="shared" si="72"/>
        <v>28950</v>
      </c>
      <c r="C2335" s="70">
        <v>2334</v>
      </c>
      <c r="D2335" s="65">
        <v>29170</v>
      </c>
      <c r="E2335" s="66">
        <v>220</v>
      </c>
      <c r="F2335" s="85">
        <v>45930</v>
      </c>
      <c r="G2335" s="64" t="s">
        <v>1310</v>
      </c>
      <c r="H2335"/>
      <c r="I2335"/>
    </row>
    <row r="2336" spans="1:9" x14ac:dyDescent="0.35">
      <c r="A2336" s="71">
        <f t="shared" si="73"/>
        <v>176755.09999999998</v>
      </c>
      <c r="B2336" s="72">
        <f t="shared" si="72"/>
        <v>2700</v>
      </c>
      <c r="C2336" s="70">
        <v>2335</v>
      </c>
      <c r="D2336" s="65">
        <v>2700</v>
      </c>
      <c r="F2336" s="85">
        <v>45930</v>
      </c>
      <c r="G2336" s="64" t="s">
        <v>1311</v>
      </c>
      <c r="H2336"/>
      <c r="I2336"/>
    </row>
    <row r="2337" spans="1:9" x14ac:dyDescent="0.35">
      <c r="A2337" s="71">
        <f t="shared" si="73"/>
        <v>176750.09999999998</v>
      </c>
      <c r="B2337" s="72">
        <f t="shared" si="72"/>
        <v>-5</v>
      </c>
      <c r="C2337" s="70">
        <v>2336</v>
      </c>
      <c r="E2337" s="66">
        <v>5</v>
      </c>
      <c r="F2337" s="85">
        <v>45930</v>
      </c>
      <c r="G2337" s="64" t="s">
        <v>1312</v>
      </c>
      <c r="H2337"/>
      <c r="I2337"/>
    </row>
    <row r="2338" spans="1:9" x14ac:dyDescent="0.35">
      <c r="A2338" s="71">
        <f t="shared" si="73"/>
        <v>150650.09999999998</v>
      </c>
      <c r="B2338" s="72">
        <f t="shared" si="72"/>
        <v>-26100</v>
      </c>
      <c r="C2338" s="70">
        <v>2337</v>
      </c>
      <c r="E2338" s="66">
        <v>26100</v>
      </c>
      <c r="F2338" s="85">
        <v>45930</v>
      </c>
      <c r="G2338" s="64" t="s">
        <v>1313</v>
      </c>
      <c r="H2338"/>
      <c r="I2338"/>
    </row>
    <row r="2339" spans="1:9" x14ac:dyDescent="0.35">
      <c r="A2339" s="71">
        <f t="shared" si="73"/>
        <v>150560.09999999998</v>
      </c>
      <c r="B2339" s="72">
        <f t="shared" si="72"/>
        <v>-90</v>
      </c>
      <c r="C2339" s="70">
        <v>2338</v>
      </c>
      <c r="E2339" s="66">
        <v>90</v>
      </c>
      <c r="F2339" s="85">
        <v>45930</v>
      </c>
      <c r="G2339" s="64" t="s">
        <v>437</v>
      </c>
      <c r="H2339"/>
      <c r="I2339"/>
    </row>
    <row r="2340" spans="1:9" x14ac:dyDescent="0.35">
      <c r="A2340" s="71">
        <f t="shared" si="73"/>
        <v>93248.099999999977</v>
      </c>
      <c r="B2340" s="72">
        <f t="shared" si="72"/>
        <v>-57312</v>
      </c>
      <c r="C2340" s="70">
        <v>2339</v>
      </c>
      <c r="E2340" s="66">
        <v>57312</v>
      </c>
      <c r="F2340" s="85">
        <v>45931</v>
      </c>
      <c r="G2340" s="64" t="s">
        <v>298</v>
      </c>
      <c r="H2340"/>
      <c r="I2340"/>
    </row>
    <row r="2341" spans="1:9" x14ac:dyDescent="0.35">
      <c r="A2341" s="71">
        <f t="shared" si="73"/>
        <v>111633.09999999998</v>
      </c>
      <c r="B2341" s="72">
        <f t="shared" si="72"/>
        <v>18385</v>
      </c>
      <c r="C2341" s="70">
        <v>2340</v>
      </c>
      <c r="D2341" s="65">
        <v>18475</v>
      </c>
      <c r="E2341" s="66">
        <v>90</v>
      </c>
      <c r="F2341" s="85">
        <v>45931</v>
      </c>
      <c r="G2341" s="64" t="s">
        <v>437</v>
      </c>
      <c r="H2341"/>
      <c r="I2341"/>
    </row>
    <row r="2342" spans="1:9" x14ac:dyDescent="0.35">
      <c r="A2342" s="71">
        <f t="shared" si="73"/>
        <v>110383.09999999998</v>
      </c>
      <c r="B2342" s="72">
        <f t="shared" si="72"/>
        <v>-1250</v>
      </c>
      <c r="C2342" s="70">
        <v>2341</v>
      </c>
      <c r="E2342" s="66">
        <v>1250</v>
      </c>
      <c r="F2342" s="85">
        <v>45931</v>
      </c>
      <c r="G2342" s="64" t="s">
        <v>1315</v>
      </c>
      <c r="H2342"/>
      <c r="I2342"/>
    </row>
    <row r="2343" spans="1:9" x14ac:dyDescent="0.35">
      <c r="A2343" s="71">
        <f t="shared" si="73"/>
        <v>100383.09999999998</v>
      </c>
      <c r="B2343" s="72">
        <f t="shared" si="72"/>
        <v>-10000</v>
      </c>
      <c r="C2343" s="70">
        <v>2342</v>
      </c>
      <c r="E2343" s="66">
        <v>10000</v>
      </c>
      <c r="F2343" s="85">
        <v>45931</v>
      </c>
      <c r="G2343" s="64" t="s">
        <v>1319</v>
      </c>
      <c r="H2343"/>
      <c r="I2343"/>
    </row>
    <row r="2344" spans="1:9" x14ac:dyDescent="0.35">
      <c r="A2344" s="71">
        <f t="shared" si="73"/>
        <v>100383.09999999998</v>
      </c>
      <c r="B2344" s="72">
        <f t="shared" si="72"/>
        <v>0</v>
      </c>
      <c r="C2344" s="70">
        <v>2343</v>
      </c>
      <c r="D2344" s="65">
        <v>450</v>
      </c>
      <c r="E2344" s="66">
        <v>450</v>
      </c>
      <c r="F2344" s="85">
        <v>45931</v>
      </c>
      <c r="G2344" s="64" t="s">
        <v>1316</v>
      </c>
      <c r="H2344"/>
      <c r="I2344"/>
    </row>
    <row r="2345" spans="1:9" x14ac:dyDescent="0.35">
      <c r="A2345" s="71">
        <f t="shared" si="73"/>
        <v>100233.09999999998</v>
      </c>
      <c r="B2345" s="72">
        <f t="shared" si="72"/>
        <v>-150</v>
      </c>
      <c r="C2345" s="70">
        <v>2344</v>
      </c>
      <c r="E2345" s="66">
        <v>150</v>
      </c>
      <c r="F2345" s="85">
        <v>45931</v>
      </c>
      <c r="G2345" s="64" t="s">
        <v>1320</v>
      </c>
      <c r="H2345"/>
      <c r="I2345"/>
    </row>
    <row r="2346" spans="1:9" x14ac:dyDescent="0.35">
      <c r="A2346" s="71">
        <f t="shared" si="73"/>
        <v>100163.09999999998</v>
      </c>
      <c r="B2346" s="72">
        <f t="shared" si="72"/>
        <v>-70</v>
      </c>
      <c r="C2346" s="70">
        <v>2345</v>
      </c>
      <c r="E2346" s="66">
        <v>70</v>
      </c>
      <c r="F2346" s="85">
        <v>45931</v>
      </c>
      <c r="G2346" s="64" t="s">
        <v>1321</v>
      </c>
      <c r="H2346"/>
      <c r="I2346"/>
    </row>
    <row r="2347" spans="1:9" x14ac:dyDescent="0.35">
      <c r="A2347" s="71">
        <f t="shared" si="73"/>
        <v>98163.099999999977</v>
      </c>
      <c r="B2347" s="72">
        <f t="shared" si="72"/>
        <v>-2000</v>
      </c>
      <c r="C2347" s="70">
        <v>2346</v>
      </c>
      <c r="E2347" s="66">
        <v>2000</v>
      </c>
      <c r="F2347" s="85">
        <v>45932</v>
      </c>
      <c r="G2347" s="64" t="s">
        <v>1322</v>
      </c>
      <c r="H2347"/>
      <c r="I2347"/>
    </row>
    <row r="2348" spans="1:9" x14ac:dyDescent="0.35">
      <c r="A2348" s="71">
        <f t="shared" si="73"/>
        <v>88163.099999999977</v>
      </c>
      <c r="B2348" s="72">
        <f t="shared" si="72"/>
        <v>-10000</v>
      </c>
      <c r="C2348" s="70">
        <v>2347</v>
      </c>
      <c r="D2348" s="65">
        <v>10000</v>
      </c>
      <c r="E2348" s="66">
        <v>20000</v>
      </c>
      <c r="F2348" s="85">
        <v>45932</v>
      </c>
      <c r="G2348" s="64" t="s">
        <v>1346</v>
      </c>
      <c r="H2348"/>
      <c r="I2348"/>
    </row>
    <row r="2349" spans="1:9" x14ac:dyDescent="0.35">
      <c r="A2349" s="71">
        <f t="shared" si="73"/>
        <v>90503.099999999977</v>
      </c>
      <c r="B2349" s="72">
        <f t="shared" si="72"/>
        <v>2340</v>
      </c>
      <c r="C2349" s="70">
        <v>2348</v>
      </c>
      <c r="D2349" s="65">
        <v>2340</v>
      </c>
      <c r="F2349" s="85">
        <v>45932</v>
      </c>
      <c r="G2349" s="64" t="s">
        <v>1323</v>
      </c>
      <c r="H2349"/>
      <c r="I2349"/>
    </row>
    <row r="2350" spans="1:9" x14ac:dyDescent="0.35">
      <c r="A2350" s="71">
        <f t="shared" si="73"/>
        <v>93589.099999999977</v>
      </c>
      <c r="B2350" s="72">
        <f t="shared" si="72"/>
        <v>3086</v>
      </c>
      <c r="C2350" s="70">
        <v>2349</v>
      </c>
      <c r="D2350" s="65">
        <v>3111</v>
      </c>
      <c r="E2350" s="66">
        <v>25</v>
      </c>
      <c r="F2350" s="85">
        <v>45932</v>
      </c>
      <c r="G2350" s="64" t="s">
        <v>1324</v>
      </c>
      <c r="H2350"/>
      <c r="I2350"/>
    </row>
    <row r="2351" spans="1:9" x14ac:dyDescent="0.35">
      <c r="A2351" s="71">
        <f t="shared" si="73"/>
        <v>91969.099999999977</v>
      </c>
      <c r="B2351" s="72">
        <f t="shared" si="72"/>
        <v>-1620</v>
      </c>
      <c r="C2351" s="70">
        <v>2350</v>
      </c>
      <c r="E2351" s="66">
        <v>1620</v>
      </c>
      <c r="F2351" s="85">
        <v>45932</v>
      </c>
      <c r="G2351" s="64" t="s">
        <v>1325</v>
      </c>
      <c r="H2351"/>
      <c r="I2351"/>
    </row>
    <row r="2352" spans="1:9" x14ac:dyDescent="0.35">
      <c r="A2352" s="71">
        <f t="shared" si="73"/>
        <v>91454.099999999977</v>
      </c>
      <c r="B2352" s="72">
        <f t="shared" si="72"/>
        <v>-515</v>
      </c>
      <c r="C2352" s="70">
        <v>2351</v>
      </c>
      <c r="E2352" s="66">
        <v>515</v>
      </c>
      <c r="F2352" s="85">
        <v>45932</v>
      </c>
      <c r="G2352" s="64" t="s">
        <v>1326</v>
      </c>
      <c r="H2352"/>
      <c r="I2352"/>
    </row>
    <row r="2353" spans="1:9" x14ac:dyDescent="0.35">
      <c r="A2353" s="71">
        <f t="shared" si="73"/>
        <v>89184.099999999977</v>
      </c>
      <c r="B2353" s="72">
        <f t="shared" si="72"/>
        <v>-2270</v>
      </c>
      <c r="C2353" s="70">
        <v>2352</v>
      </c>
      <c r="E2353" s="66">
        <v>2270</v>
      </c>
      <c r="F2353" s="85">
        <v>45934</v>
      </c>
      <c r="G2353" s="64" t="s">
        <v>1333</v>
      </c>
      <c r="H2353"/>
      <c r="I2353"/>
    </row>
    <row r="2354" spans="1:9" x14ac:dyDescent="0.35">
      <c r="A2354" s="71">
        <f t="shared" si="73"/>
        <v>89184.099999999977</v>
      </c>
      <c r="B2354" s="72">
        <f t="shared" si="72"/>
        <v>0</v>
      </c>
      <c r="C2354" s="70">
        <v>2353</v>
      </c>
      <c r="D2354" s="65">
        <v>30000</v>
      </c>
      <c r="E2354" s="66">
        <v>30000</v>
      </c>
      <c r="F2354" s="85">
        <v>45934</v>
      </c>
      <c r="G2354" s="64" t="s">
        <v>1344</v>
      </c>
      <c r="H2354"/>
      <c r="I2354"/>
    </row>
    <row r="2355" spans="1:9" x14ac:dyDescent="0.35">
      <c r="A2355" s="71">
        <f t="shared" si="73"/>
        <v>95914.099999999977</v>
      </c>
      <c r="B2355" s="72">
        <f t="shared" si="72"/>
        <v>6730</v>
      </c>
      <c r="C2355" s="70">
        <v>2354</v>
      </c>
      <c r="D2355" s="65">
        <v>8830</v>
      </c>
      <c r="E2355" s="66">
        <v>2100</v>
      </c>
      <c r="F2355" s="85">
        <v>45934</v>
      </c>
      <c r="G2355" s="64" t="s">
        <v>1045</v>
      </c>
      <c r="H2355"/>
      <c r="I2355"/>
    </row>
    <row r="2356" spans="1:9" x14ac:dyDescent="0.35">
      <c r="A2356" s="71">
        <f t="shared" si="73"/>
        <v>74714.099999999977</v>
      </c>
      <c r="B2356" s="72">
        <f t="shared" si="72"/>
        <v>-21200</v>
      </c>
      <c r="C2356" s="70">
        <v>2355</v>
      </c>
      <c r="E2356" s="66">
        <v>21200</v>
      </c>
      <c r="F2356" s="85">
        <v>45935</v>
      </c>
      <c r="G2356" s="64" t="s">
        <v>1102</v>
      </c>
      <c r="H2356"/>
      <c r="I2356"/>
    </row>
    <row r="2357" spans="1:9" x14ac:dyDescent="0.35">
      <c r="A2357" s="71">
        <f t="shared" si="73"/>
        <v>73634.099999999977</v>
      </c>
      <c r="B2357" s="72">
        <f t="shared" si="72"/>
        <v>-1080</v>
      </c>
      <c r="C2357" s="70">
        <v>2356</v>
      </c>
      <c r="E2357" s="66">
        <v>1080</v>
      </c>
      <c r="F2357" s="85">
        <v>45935</v>
      </c>
      <c r="G2357" s="64" t="s">
        <v>1101</v>
      </c>
      <c r="H2357"/>
      <c r="I2357"/>
    </row>
    <row r="2358" spans="1:9" x14ac:dyDescent="0.35">
      <c r="A2358" s="71">
        <f t="shared" si="73"/>
        <v>70134.099999999977</v>
      </c>
      <c r="B2358" s="72">
        <f t="shared" si="72"/>
        <v>-3500</v>
      </c>
      <c r="C2358" s="70">
        <v>2357</v>
      </c>
      <c r="E2358" s="66">
        <v>3500</v>
      </c>
      <c r="F2358" s="85">
        <v>45935</v>
      </c>
      <c r="G2358" s="64" t="s">
        <v>1334</v>
      </c>
      <c r="H2358"/>
      <c r="I2358"/>
    </row>
    <row r="2359" spans="1:9" x14ac:dyDescent="0.35">
      <c r="A2359" s="71">
        <f t="shared" si="73"/>
        <v>43534.099999999977</v>
      </c>
      <c r="B2359" s="72">
        <f t="shared" si="72"/>
        <v>-26600</v>
      </c>
      <c r="C2359" s="70">
        <v>2358</v>
      </c>
      <c r="E2359" s="66">
        <v>26600</v>
      </c>
      <c r="F2359" s="85">
        <v>45935</v>
      </c>
      <c r="G2359" s="64" t="s">
        <v>1339</v>
      </c>
      <c r="H2359"/>
      <c r="I2359"/>
    </row>
    <row r="2360" spans="1:9" x14ac:dyDescent="0.35">
      <c r="A2360" s="71">
        <f t="shared" si="73"/>
        <v>42134.099999999977</v>
      </c>
      <c r="B2360" s="72">
        <f t="shared" si="72"/>
        <v>-1400</v>
      </c>
      <c r="C2360" s="70">
        <v>2359</v>
      </c>
      <c r="E2360" s="66">
        <v>1400</v>
      </c>
      <c r="F2360" s="85">
        <v>45935</v>
      </c>
      <c r="G2360" s="64" t="s">
        <v>1045</v>
      </c>
      <c r="H2360"/>
      <c r="I2360"/>
    </row>
    <row r="2361" spans="1:9" x14ac:dyDescent="0.35">
      <c r="A2361" s="71">
        <f t="shared" si="73"/>
        <v>53279.099999999977</v>
      </c>
      <c r="B2361" s="72">
        <f t="shared" si="72"/>
        <v>11145</v>
      </c>
      <c r="C2361" s="70">
        <v>2360</v>
      </c>
      <c r="D2361" s="65">
        <v>11275</v>
      </c>
      <c r="E2361" s="66">
        <v>130</v>
      </c>
      <c r="F2361" s="85">
        <v>45935</v>
      </c>
      <c r="G2361" s="64" t="s">
        <v>250</v>
      </c>
      <c r="H2361"/>
      <c r="I2361"/>
    </row>
    <row r="2362" spans="1:9" x14ac:dyDescent="0.35">
      <c r="A2362" s="71">
        <f t="shared" si="73"/>
        <v>53239.099999999977</v>
      </c>
      <c r="B2362" s="72">
        <f t="shared" si="72"/>
        <v>-40</v>
      </c>
      <c r="C2362" s="70">
        <v>2361</v>
      </c>
      <c r="E2362" s="66">
        <v>40</v>
      </c>
      <c r="F2362" s="85">
        <v>45935</v>
      </c>
      <c r="G2362" s="64" t="s">
        <v>1335</v>
      </c>
      <c r="H2362"/>
      <c r="I2362"/>
    </row>
    <row r="2363" spans="1:9" x14ac:dyDescent="0.35">
      <c r="A2363" s="71">
        <f t="shared" si="73"/>
        <v>53219.099999999977</v>
      </c>
      <c r="B2363" s="72">
        <f t="shared" si="72"/>
        <v>-20</v>
      </c>
      <c r="C2363" s="70">
        <v>2362</v>
      </c>
      <c r="E2363" s="66">
        <v>20</v>
      </c>
      <c r="F2363" s="85">
        <v>45935</v>
      </c>
      <c r="G2363" s="64" t="s">
        <v>774</v>
      </c>
      <c r="H2363"/>
      <c r="I2363"/>
    </row>
    <row r="2364" spans="1:9" x14ac:dyDescent="0.35">
      <c r="A2364" s="71">
        <f t="shared" si="73"/>
        <v>53219.099999999977</v>
      </c>
      <c r="B2364" s="72">
        <f t="shared" si="72"/>
        <v>0</v>
      </c>
      <c r="C2364" s="70">
        <v>2363</v>
      </c>
      <c r="D2364" s="65">
        <v>200</v>
      </c>
      <c r="E2364" s="66">
        <v>200</v>
      </c>
      <c r="F2364" s="85">
        <v>45935</v>
      </c>
      <c r="G2364" s="64" t="s">
        <v>1347</v>
      </c>
      <c r="H2364"/>
      <c r="I2364"/>
    </row>
    <row r="2365" spans="1:9" x14ac:dyDescent="0.35">
      <c r="A2365" s="71">
        <f t="shared" si="73"/>
        <v>51919.099999999977</v>
      </c>
      <c r="B2365" s="72">
        <f t="shared" si="72"/>
        <v>-1300</v>
      </c>
      <c r="C2365" s="70">
        <v>2364</v>
      </c>
      <c r="E2365" s="66">
        <v>1300</v>
      </c>
      <c r="F2365" s="85">
        <v>45936</v>
      </c>
      <c r="G2365" s="64" t="s">
        <v>1336</v>
      </c>
      <c r="H2365"/>
      <c r="I2365"/>
    </row>
    <row r="2366" spans="1:9" x14ac:dyDescent="0.35">
      <c r="A2366" s="71">
        <f t="shared" si="73"/>
        <v>51829.099999999977</v>
      </c>
      <c r="B2366" s="72">
        <f t="shared" si="72"/>
        <v>-90</v>
      </c>
      <c r="C2366" s="70">
        <v>2365</v>
      </c>
      <c r="E2366" s="66">
        <v>90</v>
      </c>
      <c r="F2366" s="85">
        <v>45662</v>
      </c>
      <c r="G2366" s="64" t="s">
        <v>1069</v>
      </c>
      <c r="H2366"/>
      <c r="I2366"/>
    </row>
    <row r="2367" spans="1:9" x14ac:dyDescent="0.35">
      <c r="A2367" s="71">
        <f t="shared" si="73"/>
        <v>49829.099999999977</v>
      </c>
      <c r="B2367" s="72">
        <f t="shared" si="72"/>
        <v>-2000</v>
      </c>
      <c r="C2367" s="70">
        <v>2366</v>
      </c>
      <c r="E2367" s="66">
        <v>2000</v>
      </c>
      <c r="F2367" s="85">
        <v>45936</v>
      </c>
      <c r="G2367" s="64" t="s">
        <v>1337</v>
      </c>
      <c r="H2367"/>
      <c r="I2367"/>
    </row>
    <row r="2368" spans="1:9" x14ac:dyDescent="0.35">
      <c r="A2368" s="71">
        <f t="shared" si="73"/>
        <v>47884.099999999977</v>
      </c>
      <c r="B2368" s="72">
        <f t="shared" si="72"/>
        <v>-1945</v>
      </c>
      <c r="C2368" s="70">
        <v>2367</v>
      </c>
      <c r="E2368" s="66">
        <v>1945</v>
      </c>
      <c r="F2368" s="85">
        <v>45936</v>
      </c>
      <c r="G2368" s="64" t="s">
        <v>1345</v>
      </c>
      <c r="H2368"/>
      <c r="I2368"/>
    </row>
    <row r="2369" spans="1:9" x14ac:dyDescent="0.35">
      <c r="A2369" s="71">
        <f t="shared" si="73"/>
        <v>58354.099999999977</v>
      </c>
      <c r="B2369" s="72">
        <f t="shared" si="72"/>
        <v>10470</v>
      </c>
      <c r="C2369" s="70">
        <v>2368</v>
      </c>
      <c r="D2369" s="65">
        <v>10560</v>
      </c>
      <c r="E2369" s="66">
        <v>90</v>
      </c>
      <c r="F2369" s="85">
        <v>45936</v>
      </c>
      <c r="G2369" s="64" t="s">
        <v>437</v>
      </c>
      <c r="H2369"/>
      <c r="I2369"/>
    </row>
    <row r="2370" spans="1:9" x14ac:dyDescent="0.35">
      <c r="A2370" s="71">
        <f t="shared" si="73"/>
        <v>58104.099999999977</v>
      </c>
      <c r="B2370" s="72">
        <f t="shared" si="72"/>
        <v>-250</v>
      </c>
      <c r="C2370" s="70">
        <v>2369</v>
      </c>
      <c r="E2370" s="66">
        <v>250</v>
      </c>
      <c r="F2370" s="85">
        <v>45936</v>
      </c>
      <c r="G2370" s="64" t="s">
        <v>1162</v>
      </c>
      <c r="H2370"/>
      <c r="I2370"/>
    </row>
    <row r="2371" spans="1:9" x14ac:dyDescent="0.35">
      <c r="A2371" s="71">
        <f t="shared" si="73"/>
        <v>57954.099999999977</v>
      </c>
      <c r="B2371" s="72">
        <f t="shared" ref="B2371:B2434" si="74">SUM(D2371-E2371)</f>
        <v>-150</v>
      </c>
      <c r="C2371" s="70">
        <v>2370</v>
      </c>
      <c r="D2371" s="65">
        <v>125</v>
      </c>
      <c r="E2371" s="66">
        <v>275</v>
      </c>
      <c r="F2371" s="85">
        <v>45936</v>
      </c>
      <c r="G2371" s="64" t="s">
        <v>1391</v>
      </c>
      <c r="H2371"/>
      <c r="I2371"/>
    </row>
    <row r="2372" spans="1:9" x14ac:dyDescent="0.35">
      <c r="A2372" s="71">
        <f t="shared" ref="A2372:A2435" si="75">SUM(A2371+B2372)</f>
        <v>57934.099999999977</v>
      </c>
      <c r="B2372" s="72">
        <f t="shared" si="74"/>
        <v>-20</v>
      </c>
      <c r="C2372" s="70">
        <v>2371</v>
      </c>
      <c r="E2372" s="66">
        <v>20</v>
      </c>
      <c r="F2372" s="85">
        <v>45936</v>
      </c>
      <c r="G2372" s="64" t="s">
        <v>296</v>
      </c>
      <c r="H2372"/>
      <c r="I2372"/>
    </row>
    <row r="2373" spans="1:9" x14ac:dyDescent="0.35">
      <c r="A2373" s="71">
        <f t="shared" si="75"/>
        <v>56834.099999999977</v>
      </c>
      <c r="B2373" s="72">
        <f t="shared" si="74"/>
        <v>-1100</v>
      </c>
      <c r="C2373" s="70">
        <v>2372</v>
      </c>
      <c r="E2373" s="66">
        <v>1100</v>
      </c>
      <c r="F2373" s="85">
        <v>45936</v>
      </c>
      <c r="G2373" s="64" t="s">
        <v>486</v>
      </c>
      <c r="H2373"/>
      <c r="I2373"/>
    </row>
    <row r="2374" spans="1:9" x14ac:dyDescent="0.35">
      <c r="A2374" s="71">
        <f t="shared" si="75"/>
        <v>56634.099999999977</v>
      </c>
      <c r="B2374" s="72">
        <f t="shared" si="74"/>
        <v>-200</v>
      </c>
      <c r="C2374" s="70">
        <v>2373</v>
      </c>
      <c r="E2374" s="66">
        <v>200</v>
      </c>
      <c r="F2374" s="85">
        <v>45936</v>
      </c>
      <c r="G2374" s="64" t="s">
        <v>1338</v>
      </c>
      <c r="H2374"/>
      <c r="I2374"/>
    </row>
    <row r="2375" spans="1:9" x14ac:dyDescent="0.35">
      <c r="A2375" s="71">
        <f t="shared" si="75"/>
        <v>56474.099999999977</v>
      </c>
      <c r="B2375" s="72">
        <f t="shared" si="74"/>
        <v>-160</v>
      </c>
      <c r="C2375" s="70">
        <v>2374</v>
      </c>
      <c r="E2375" s="66">
        <v>160</v>
      </c>
      <c r="F2375" s="85">
        <v>45936</v>
      </c>
      <c r="G2375" s="64" t="s">
        <v>1340</v>
      </c>
      <c r="H2375"/>
      <c r="I2375"/>
    </row>
    <row r="2376" spans="1:9" x14ac:dyDescent="0.35">
      <c r="A2376" s="71">
        <f t="shared" si="75"/>
        <v>54074.099999999977</v>
      </c>
      <c r="B2376" s="72">
        <f t="shared" si="74"/>
        <v>-2400</v>
      </c>
      <c r="C2376" s="70">
        <v>2375</v>
      </c>
      <c r="E2376" s="66">
        <v>2400</v>
      </c>
      <c r="F2376" s="85">
        <v>45937</v>
      </c>
      <c r="G2376" s="64" t="s">
        <v>135</v>
      </c>
      <c r="H2376"/>
      <c r="I2376"/>
    </row>
    <row r="2377" spans="1:9" x14ac:dyDescent="0.35">
      <c r="A2377" s="71">
        <f t="shared" si="75"/>
        <v>51024.099999999977</v>
      </c>
      <c r="B2377" s="72">
        <f t="shared" si="74"/>
        <v>-3050</v>
      </c>
      <c r="C2377" s="70">
        <v>2376</v>
      </c>
      <c r="E2377" s="66">
        <v>3050</v>
      </c>
      <c r="F2377" s="85">
        <v>45937</v>
      </c>
      <c r="G2377" s="64" t="s">
        <v>1341</v>
      </c>
      <c r="H2377"/>
      <c r="I2377"/>
    </row>
    <row r="2378" spans="1:9" x14ac:dyDescent="0.35">
      <c r="A2378" s="71">
        <f t="shared" si="75"/>
        <v>50524.099999999977</v>
      </c>
      <c r="B2378" s="72">
        <f t="shared" si="74"/>
        <v>-500</v>
      </c>
      <c r="C2378" s="70">
        <v>2377</v>
      </c>
      <c r="E2378" s="66">
        <v>500</v>
      </c>
      <c r="F2378" s="85">
        <v>45937</v>
      </c>
      <c r="G2378" s="64" t="s">
        <v>1342</v>
      </c>
      <c r="H2378"/>
      <c r="I2378"/>
    </row>
    <row r="2379" spans="1:9" x14ac:dyDescent="0.35">
      <c r="A2379" s="71">
        <f t="shared" si="75"/>
        <v>50104.099999999977</v>
      </c>
      <c r="B2379" s="72">
        <f t="shared" si="74"/>
        <v>-420</v>
      </c>
      <c r="C2379" s="70">
        <v>2378</v>
      </c>
      <c r="E2379" s="66">
        <v>420</v>
      </c>
      <c r="F2379" s="85">
        <v>45937</v>
      </c>
      <c r="G2379" s="64" t="s">
        <v>1343</v>
      </c>
      <c r="H2379"/>
      <c r="I2379"/>
    </row>
    <row r="2380" spans="1:9" x14ac:dyDescent="0.35">
      <c r="A2380" s="71">
        <f t="shared" si="75"/>
        <v>73264.099999999977</v>
      </c>
      <c r="B2380" s="72">
        <f t="shared" si="74"/>
        <v>23160</v>
      </c>
      <c r="C2380" s="70">
        <v>2379</v>
      </c>
      <c r="D2380" s="65">
        <v>23250</v>
      </c>
      <c r="E2380" s="66">
        <v>90</v>
      </c>
      <c r="F2380" s="85">
        <v>45937</v>
      </c>
      <c r="G2380" s="64" t="s">
        <v>752</v>
      </c>
      <c r="H2380"/>
      <c r="I2380"/>
    </row>
    <row r="2381" spans="1:9" x14ac:dyDescent="0.35">
      <c r="A2381" s="71">
        <f t="shared" si="75"/>
        <v>76159.099999999977</v>
      </c>
      <c r="B2381" s="72">
        <f t="shared" si="74"/>
        <v>2895</v>
      </c>
      <c r="C2381" s="70">
        <v>2380</v>
      </c>
      <c r="D2381" s="65">
        <v>2995</v>
      </c>
      <c r="E2381" s="66">
        <v>100</v>
      </c>
      <c r="F2381" s="85">
        <v>45938</v>
      </c>
      <c r="G2381" s="64" t="s">
        <v>990</v>
      </c>
      <c r="H2381"/>
      <c r="I2381"/>
    </row>
    <row r="2382" spans="1:9" x14ac:dyDescent="0.35">
      <c r="A2382" s="71">
        <f t="shared" si="75"/>
        <v>76004.099999999977</v>
      </c>
      <c r="B2382" s="72">
        <f t="shared" si="74"/>
        <v>-155</v>
      </c>
      <c r="C2382" s="70">
        <v>2381</v>
      </c>
      <c r="E2382" s="66">
        <v>155</v>
      </c>
      <c r="F2382" s="85">
        <v>45938</v>
      </c>
      <c r="G2382" s="64" t="s">
        <v>961</v>
      </c>
      <c r="H2382"/>
      <c r="I2382"/>
    </row>
    <row r="2383" spans="1:9" x14ac:dyDescent="0.35">
      <c r="A2383" s="71">
        <f t="shared" si="75"/>
        <v>74004.099999999977</v>
      </c>
      <c r="B2383" s="72">
        <f t="shared" si="74"/>
        <v>-2000</v>
      </c>
      <c r="C2383" s="70">
        <v>2382</v>
      </c>
      <c r="E2383" s="66">
        <v>2000</v>
      </c>
      <c r="F2383" s="85">
        <v>45938</v>
      </c>
      <c r="G2383" s="64" t="s">
        <v>177</v>
      </c>
      <c r="H2383"/>
      <c r="I2383"/>
    </row>
    <row r="2384" spans="1:9" x14ac:dyDescent="0.35">
      <c r="A2384" s="71">
        <f t="shared" si="75"/>
        <v>37333.099999999977</v>
      </c>
      <c r="B2384" s="72">
        <f t="shared" si="74"/>
        <v>-36671</v>
      </c>
      <c r="C2384" s="70">
        <v>2383</v>
      </c>
      <c r="E2384" s="66">
        <v>36671</v>
      </c>
      <c r="F2384" s="85">
        <v>45939</v>
      </c>
      <c r="G2384" s="64" t="s">
        <v>18</v>
      </c>
      <c r="H2384"/>
      <c r="I2384"/>
    </row>
    <row r="2385" spans="1:9" x14ac:dyDescent="0.35">
      <c r="A2385" s="71">
        <f t="shared" si="75"/>
        <v>21083.099999999977</v>
      </c>
      <c r="B2385" s="72">
        <f t="shared" si="74"/>
        <v>-16250</v>
      </c>
      <c r="C2385" s="70">
        <v>2384</v>
      </c>
      <c r="E2385" s="66">
        <v>16250</v>
      </c>
      <c r="F2385" s="85">
        <v>45939</v>
      </c>
      <c r="G2385" s="64" t="s">
        <v>279</v>
      </c>
      <c r="H2385"/>
      <c r="I2385"/>
    </row>
    <row r="2386" spans="1:9" x14ac:dyDescent="0.35">
      <c r="A2386" s="71">
        <f t="shared" si="75"/>
        <v>23473.099999999977</v>
      </c>
      <c r="B2386" s="72">
        <f t="shared" si="74"/>
        <v>2390</v>
      </c>
      <c r="C2386" s="70">
        <v>2385</v>
      </c>
      <c r="D2386" s="65">
        <v>2750</v>
      </c>
      <c r="E2386" s="66">
        <v>360</v>
      </c>
      <c r="F2386" s="85">
        <v>45939</v>
      </c>
      <c r="G2386" s="64" t="s">
        <v>1043</v>
      </c>
      <c r="H2386"/>
      <c r="I2386"/>
    </row>
    <row r="2387" spans="1:9" x14ac:dyDescent="0.35">
      <c r="A2387" s="71">
        <f t="shared" si="75"/>
        <v>23478.099999999977</v>
      </c>
      <c r="B2387" s="72">
        <f t="shared" si="74"/>
        <v>5</v>
      </c>
      <c r="C2387" s="70">
        <v>2386</v>
      </c>
      <c r="D2387" s="65">
        <v>5</v>
      </c>
      <c r="F2387" s="85">
        <v>45939</v>
      </c>
      <c r="G2387" s="64" t="s">
        <v>1349</v>
      </c>
      <c r="H2387"/>
      <c r="I2387"/>
    </row>
    <row r="2388" spans="1:9" x14ac:dyDescent="0.35">
      <c r="A2388" s="71">
        <f t="shared" si="75"/>
        <v>26448.099999999977</v>
      </c>
      <c r="B2388" s="72">
        <f t="shared" si="74"/>
        <v>2970</v>
      </c>
      <c r="C2388" s="70">
        <v>2387</v>
      </c>
      <c r="D2388" s="65">
        <v>3150</v>
      </c>
      <c r="E2388" s="66">
        <v>180</v>
      </c>
      <c r="F2388" s="85">
        <v>45941</v>
      </c>
      <c r="G2388" s="64" t="s">
        <v>437</v>
      </c>
      <c r="H2388"/>
      <c r="I2388"/>
    </row>
    <row r="2389" spans="1:9" x14ac:dyDescent="0.35">
      <c r="A2389" s="71">
        <f t="shared" si="75"/>
        <v>25448.099999999977</v>
      </c>
      <c r="B2389" s="72">
        <f t="shared" si="74"/>
        <v>-1000</v>
      </c>
      <c r="C2389" s="70">
        <v>2388</v>
      </c>
      <c r="E2389" s="66">
        <v>1000</v>
      </c>
      <c r="F2389" s="85">
        <v>45941</v>
      </c>
      <c r="G2389" s="64" t="s">
        <v>177</v>
      </c>
      <c r="H2389"/>
      <c r="I2389"/>
    </row>
    <row r="2390" spans="1:9" x14ac:dyDescent="0.35">
      <c r="A2390" s="71">
        <f t="shared" si="75"/>
        <v>24448.099999999977</v>
      </c>
      <c r="B2390" s="72">
        <f t="shared" si="74"/>
        <v>-1000</v>
      </c>
      <c r="C2390" s="70">
        <v>2389</v>
      </c>
      <c r="E2390" s="66">
        <v>1000</v>
      </c>
      <c r="F2390" s="85">
        <v>45941</v>
      </c>
      <c r="G2390" s="64" t="s">
        <v>1351</v>
      </c>
      <c r="H2390"/>
      <c r="I2390"/>
    </row>
    <row r="2391" spans="1:9" x14ac:dyDescent="0.35">
      <c r="A2391" s="71">
        <f t="shared" si="75"/>
        <v>24448.099999999977</v>
      </c>
      <c r="B2391" s="72">
        <f t="shared" si="74"/>
        <v>0</v>
      </c>
      <c r="C2391" s="70">
        <v>2390</v>
      </c>
      <c r="D2391" s="65">
        <v>850</v>
      </c>
      <c r="E2391" s="66">
        <v>850</v>
      </c>
      <c r="F2391" s="85">
        <v>45941</v>
      </c>
      <c r="G2391" s="64" t="s">
        <v>1353</v>
      </c>
      <c r="H2391"/>
      <c r="I2391"/>
    </row>
    <row r="2392" spans="1:9" x14ac:dyDescent="0.35">
      <c r="A2392" s="71">
        <f t="shared" si="75"/>
        <v>42213.099999999977</v>
      </c>
      <c r="B2392" s="72">
        <f t="shared" si="74"/>
        <v>17765</v>
      </c>
      <c r="C2392" s="70">
        <v>2391</v>
      </c>
      <c r="D2392" s="65">
        <v>17905</v>
      </c>
      <c r="E2392" s="66">
        <v>140</v>
      </c>
      <c r="F2392" s="85">
        <v>45942</v>
      </c>
      <c r="G2392" s="64" t="s">
        <v>250</v>
      </c>
      <c r="H2392"/>
      <c r="I2392"/>
    </row>
    <row r="2393" spans="1:9" x14ac:dyDescent="0.35">
      <c r="A2393" s="71">
        <f t="shared" si="75"/>
        <v>42123.099999999977</v>
      </c>
      <c r="B2393" s="72">
        <f t="shared" si="74"/>
        <v>-90</v>
      </c>
      <c r="C2393" s="70">
        <v>2392</v>
      </c>
      <c r="E2393" s="66">
        <v>90</v>
      </c>
      <c r="F2393" s="85">
        <v>45942</v>
      </c>
      <c r="G2393" s="64" t="s">
        <v>437</v>
      </c>
      <c r="H2393"/>
      <c r="I2393"/>
    </row>
    <row r="2394" spans="1:9" x14ac:dyDescent="0.35">
      <c r="A2394" s="71">
        <f t="shared" si="75"/>
        <v>41373.099999999977</v>
      </c>
      <c r="B2394" s="72">
        <f t="shared" si="74"/>
        <v>-750</v>
      </c>
      <c r="C2394" s="70">
        <v>2393</v>
      </c>
      <c r="E2394" s="66">
        <v>750</v>
      </c>
      <c r="F2394" s="85">
        <v>45942</v>
      </c>
      <c r="G2394" s="64" t="s">
        <v>541</v>
      </c>
      <c r="H2394"/>
      <c r="I2394"/>
    </row>
    <row r="2395" spans="1:9" x14ac:dyDescent="0.35">
      <c r="A2395" s="71">
        <f t="shared" si="75"/>
        <v>41073.099999999977</v>
      </c>
      <c r="B2395" s="72">
        <f t="shared" si="74"/>
        <v>-300</v>
      </c>
      <c r="C2395" s="70">
        <v>2394</v>
      </c>
      <c r="E2395" s="66">
        <v>300</v>
      </c>
      <c r="F2395" s="85">
        <v>45942</v>
      </c>
      <c r="G2395" s="64" t="s">
        <v>805</v>
      </c>
      <c r="H2395"/>
      <c r="I2395"/>
    </row>
    <row r="2396" spans="1:9" x14ac:dyDescent="0.35">
      <c r="A2396" s="71">
        <f t="shared" si="75"/>
        <v>40343.099999999977</v>
      </c>
      <c r="B2396" s="72">
        <f t="shared" si="74"/>
        <v>-730</v>
      </c>
      <c r="C2396" s="70">
        <v>2395</v>
      </c>
      <c r="E2396" s="66">
        <v>730</v>
      </c>
      <c r="F2396" s="85">
        <v>45943</v>
      </c>
      <c r="G2396" s="64" t="s">
        <v>1392</v>
      </c>
      <c r="H2396"/>
      <c r="I2396"/>
    </row>
    <row r="2397" spans="1:9" x14ac:dyDescent="0.35">
      <c r="A2397" s="71">
        <f t="shared" si="75"/>
        <v>47878.099999999977</v>
      </c>
      <c r="B2397" s="72">
        <f t="shared" si="74"/>
        <v>7535</v>
      </c>
      <c r="C2397" s="70">
        <v>2396</v>
      </c>
      <c r="D2397" s="65">
        <v>7805</v>
      </c>
      <c r="E2397" s="66">
        <v>270</v>
      </c>
      <c r="F2397" s="85">
        <v>45943</v>
      </c>
      <c r="G2397" s="64" t="s">
        <v>437</v>
      </c>
      <c r="H2397"/>
      <c r="I2397"/>
    </row>
    <row r="2398" spans="1:9" x14ac:dyDescent="0.35">
      <c r="A2398" s="71">
        <f t="shared" si="75"/>
        <v>47858.099999999977</v>
      </c>
      <c r="B2398" s="72">
        <f t="shared" si="74"/>
        <v>-20</v>
      </c>
      <c r="C2398" s="70">
        <v>2397</v>
      </c>
      <c r="E2398" s="66">
        <v>20</v>
      </c>
      <c r="F2398" s="85">
        <v>45943</v>
      </c>
      <c r="G2398" s="64" t="s">
        <v>296</v>
      </c>
      <c r="H2398"/>
      <c r="I2398"/>
    </row>
    <row r="2399" spans="1:9" x14ac:dyDescent="0.35">
      <c r="A2399" s="71">
        <f t="shared" si="75"/>
        <v>47784.099999999977</v>
      </c>
      <c r="B2399" s="72">
        <f t="shared" si="74"/>
        <v>-74</v>
      </c>
      <c r="C2399" s="70">
        <v>2398</v>
      </c>
      <c r="E2399" s="66">
        <v>74</v>
      </c>
      <c r="F2399" s="85">
        <v>45943</v>
      </c>
      <c r="G2399" s="64" t="s">
        <v>131</v>
      </c>
      <c r="H2399"/>
      <c r="I2399"/>
    </row>
    <row r="2400" spans="1:9" x14ac:dyDescent="0.35">
      <c r="A2400" s="71">
        <f t="shared" si="75"/>
        <v>47629.099999999977</v>
      </c>
      <c r="B2400" s="72">
        <f t="shared" si="74"/>
        <v>-155</v>
      </c>
      <c r="C2400" s="70">
        <v>2399</v>
      </c>
      <c r="E2400" s="66">
        <v>155</v>
      </c>
      <c r="F2400" s="85">
        <v>45943</v>
      </c>
      <c r="G2400" s="64" t="s">
        <v>961</v>
      </c>
      <c r="H2400"/>
      <c r="I2400"/>
    </row>
    <row r="2401" spans="1:9" x14ac:dyDescent="0.35">
      <c r="A2401" s="71">
        <f t="shared" si="75"/>
        <v>47209.099999999977</v>
      </c>
      <c r="B2401" s="72">
        <f t="shared" si="74"/>
        <v>-420</v>
      </c>
      <c r="C2401" s="70">
        <v>2400</v>
      </c>
      <c r="E2401" s="66">
        <v>420</v>
      </c>
      <c r="F2401" s="85">
        <v>45943</v>
      </c>
      <c r="G2401" s="64" t="s">
        <v>1343</v>
      </c>
      <c r="H2401"/>
      <c r="I2401"/>
    </row>
    <row r="2402" spans="1:9" x14ac:dyDescent="0.35">
      <c r="A2402" s="71">
        <f t="shared" si="75"/>
        <v>49209.099999999977</v>
      </c>
      <c r="B2402" s="72">
        <f t="shared" si="74"/>
        <v>2000</v>
      </c>
      <c r="C2402" s="70">
        <v>2401</v>
      </c>
      <c r="D2402" s="65">
        <v>2000</v>
      </c>
      <c r="F2402" s="85">
        <v>45943</v>
      </c>
      <c r="G2402" s="64" t="s">
        <v>1356</v>
      </c>
      <c r="H2402"/>
      <c r="I2402"/>
    </row>
    <row r="2403" spans="1:9" x14ac:dyDescent="0.35">
      <c r="A2403" s="71">
        <f t="shared" si="75"/>
        <v>73629.099999999977</v>
      </c>
      <c r="B2403" s="72">
        <f t="shared" si="74"/>
        <v>24420</v>
      </c>
      <c r="C2403" s="70">
        <v>2402</v>
      </c>
      <c r="D2403" s="65">
        <v>24420</v>
      </c>
      <c r="F2403" s="85">
        <v>45944</v>
      </c>
      <c r="G2403" s="64" t="s">
        <v>12</v>
      </c>
      <c r="H2403"/>
      <c r="I2403"/>
    </row>
    <row r="2404" spans="1:9" x14ac:dyDescent="0.35">
      <c r="A2404" s="71">
        <f t="shared" si="75"/>
        <v>73089.099999999977</v>
      </c>
      <c r="B2404" s="72">
        <f t="shared" si="74"/>
        <v>-540</v>
      </c>
      <c r="C2404" s="70">
        <v>2403</v>
      </c>
      <c r="E2404" s="66">
        <v>540</v>
      </c>
      <c r="F2404" s="85">
        <v>45944</v>
      </c>
      <c r="G2404" s="64" t="s">
        <v>1237</v>
      </c>
      <c r="H2404"/>
      <c r="I2404"/>
    </row>
    <row r="2405" spans="1:9" x14ac:dyDescent="0.35">
      <c r="A2405" s="71">
        <f t="shared" si="75"/>
        <v>72335.099999999977</v>
      </c>
      <c r="B2405" s="72">
        <f t="shared" si="74"/>
        <v>-754</v>
      </c>
      <c r="C2405" s="70">
        <v>2404</v>
      </c>
      <c r="E2405" s="66">
        <v>754</v>
      </c>
      <c r="F2405" s="85">
        <v>45945</v>
      </c>
      <c r="G2405" s="64" t="s">
        <v>1363</v>
      </c>
      <c r="H2405"/>
      <c r="I2405"/>
    </row>
    <row r="2406" spans="1:9" x14ac:dyDescent="0.35">
      <c r="A2406" s="71">
        <f t="shared" si="75"/>
        <v>82160.099999999977</v>
      </c>
      <c r="B2406" s="72">
        <f t="shared" si="74"/>
        <v>9825</v>
      </c>
      <c r="C2406" s="70">
        <v>2405</v>
      </c>
      <c r="D2406" s="65">
        <v>9825</v>
      </c>
      <c r="F2406" s="85">
        <v>45945</v>
      </c>
      <c r="G2406" s="64" t="s">
        <v>12</v>
      </c>
      <c r="H2406"/>
      <c r="I2406"/>
    </row>
    <row r="2407" spans="1:9" x14ac:dyDescent="0.35">
      <c r="A2407" s="71">
        <f t="shared" si="75"/>
        <v>82140.099999999977</v>
      </c>
      <c r="B2407" s="72">
        <f t="shared" si="74"/>
        <v>-20</v>
      </c>
      <c r="C2407" s="70">
        <v>2406</v>
      </c>
      <c r="E2407" s="66">
        <v>20</v>
      </c>
      <c r="F2407" s="85">
        <v>45945</v>
      </c>
      <c r="G2407" s="64" t="s">
        <v>1357</v>
      </c>
      <c r="H2407"/>
      <c r="I2407"/>
    </row>
    <row r="2408" spans="1:9" x14ac:dyDescent="0.35">
      <c r="A2408" s="71">
        <f t="shared" si="75"/>
        <v>82040.099999999977</v>
      </c>
      <c r="B2408" s="72">
        <f t="shared" si="74"/>
        <v>-100</v>
      </c>
      <c r="C2408" s="70">
        <v>2407</v>
      </c>
      <c r="E2408" s="66">
        <v>100</v>
      </c>
      <c r="F2408" s="85">
        <v>45945</v>
      </c>
      <c r="G2408" s="64" t="s">
        <v>990</v>
      </c>
      <c r="H2408"/>
      <c r="I2408"/>
    </row>
    <row r="2409" spans="1:9" x14ac:dyDescent="0.35">
      <c r="A2409" s="71">
        <f t="shared" si="75"/>
        <v>81040.099999999977</v>
      </c>
      <c r="B2409" s="72">
        <f t="shared" si="74"/>
        <v>-1000</v>
      </c>
      <c r="C2409" s="70">
        <v>2408</v>
      </c>
      <c r="E2409" s="66">
        <v>1000</v>
      </c>
      <c r="F2409" s="85">
        <v>45945</v>
      </c>
      <c r="G2409" s="64" t="s">
        <v>1358</v>
      </c>
      <c r="H2409"/>
      <c r="I2409"/>
    </row>
    <row r="2410" spans="1:9" x14ac:dyDescent="0.35">
      <c r="A2410" s="71">
        <f t="shared" si="75"/>
        <v>80860.099999999977</v>
      </c>
      <c r="B2410" s="72">
        <f t="shared" si="74"/>
        <v>-180</v>
      </c>
      <c r="C2410" s="70">
        <v>2409</v>
      </c>
      <c r="E2410" s="66">
        <v>180</v>
      </c>
      <c r="F2410" s="85">
        <v>45945</v>
      </c>
      <c r="G2410" s="64" t="s">
        <v>437</v>
      </c>
      <c r="H2410"/>
      <c r="I2410"/>
    </row>
    <row r="2411" spans="1:9" x14ac:dyDescent="0.35">
      <c r="A2411" s="71">
        <f t="shared" si="75"/>
        <v>60860.099999999977</v>
      </c>
      <c r="B2411" s="72">
        <f t="shared" si="74"/>
        <v>-20000</v>
      </c>
      <c r="C2411" s="70">
        <v>2410</v>
      </c>
      <c r="E2411" s="66">
        <v>20000</v>
      </c>
      <c r="F2411" s="85">
        <v>45945</v>
      </c>
      <c r="G2411" s="64" t="s">
        <v>13</v>
      </c>
      <c r="H2411"/>
      <c r="I2411"/>
    </row>
    <row r="2412" spans="1:9" x14ac:dyDescent="0.35">
      <c r="A2412" s="71">
        <f t="shared" si="75"/>
        <v>60770.099999999977</v>
      </c>
      <c r="B2412" s="72">
        <f t="shared" si="74"/>
        <v>-90</v>
      </c>
      <c r="C2412" s="70">
        <v>2411</v>
      </c>
      <c r="E2412" s="66">
        <v>90</v>
      </c>
      <c r="F2412" s="85">
        <v>45945</v>
      </c>
      <c r="G2412" s="64" t="s">
        <v>1069</v>
      </c>
      <c r="H2412"/>
      <c r="I2412"/>
    </row>
    <row r="2413" spans="1:9" x14ac:dyDescent="0.35">
      <c r="A2413" s="71">
        <f t="shared" si="75"/>
        <v>60540.099999999977</v>
      </c>
      <c r="B2413" s="72">
        <f t="shared" si="74"/>
        <v>-230</v>
      </c>
      <c r="C2413" s="70">
        <v>2412</v>
      </c>
      <c r="E2413" s="66">
        <v>230</v>
      </c>
      <c r="F2413" s="85">
        <v>45946</v>
      </c>
      <c r="G2413" s="64" t="s">
        <v>1359</v>
      </c>
      <c r="H2413"/>
      <c r="I2413"/>
    </row>
    <row r="2414" spans="1:9" x14ac:dyDescent="0.35">
      <c r="A2414" s="71">
        <f t="shared" si="75"/>
        <v>63270.099999999977</v>
      </c>
      <c r="B2414" s="72">
        <f t="shared" si="74"/>
        <v>2730</v>
      </c>
      <c r="C2414" s="70">
        <v>2413</v>
      </c>
      <c r="D2414" s="65">
        <v>3165</v>
      </c>
      <c r="E2414" s="66">
        <v>435</v>
      </c>
      <c r="F2414" s="85">
        <v>45946</v>
      </c>
      <c r="G2414" s="64" t="s">
        <v>1292</v>
      </c>
      <c r="H2414"/>
      <c r="I2414"/>
    </row>
    <row r="2415" spans="1:9" x14ac:dyDescent="0.35">
      <c r="A2415" s="71">
        <f t="shared" si="75"/>
        <v>63270.099999999977</v>
      </c>
      <c r="B2415" s="72">
        <f t="shared" si="74"/>
        <v>0</v>
      </c>
      <c r="C2415" s="70">
        <v>2414</v>
      </c>
      <c r="D2415" s="65">
        <v>50</v>
      </c>
      <c r="E2415" s="66">
        <v>50</v>
      </c>
      <c r="F2415" s="85">
        <v>45946</v>
      </c>
      <c r="G2415" s="64" t="s">
        <v>1361</v>
      </c>
      <c r="H2415"/>
      <c r="I2415"/>
    </row>
    <row r="2416" spans="1:9" x14ac:dyDescent="0.35">
      <c r="A2416" s="71">
        <f t="shared" si="75"/>
        <v>63180.099999999977</v>
      </c>
      <c r="B2416" s="72">
        <f t="shared" si="74"/>
        <v>-90</v>
      </c>
      <c r="C2416" s="70">
        <v>2415</v>
      </c>
      <c r="E2416" s="66">
        <v>90</v>
      </c>
      <c r="F2416" s="85">
        <v>45946</v>
      </c>
      <c r="G2416" s="64" t="s">
        <v>437</v>
      </c>
      <c r="H2416"/>
      <c r="I2416"/>
    </row>
    <row r="2417" spans="1:9" x14ac:dyDescent="0.35">
      <c r="A2417" s="71">
        <f t="shared" si="75"/>
        <v>63000.099999999977</v>
      </c>
      <c r="B2417" s="72">
        <f t="shared" si="74"/>
        <v>-180</v>
      </c>
      <c r="C2417" s="70">
        <v>2416</v>
      </c>
      <c r="E2417" s="66">
        <v>180</v>
      </c>
      <c r="F2417" s="85">
        <v>45946</v>
      </c>
      <c r="G2417" s="64" t="s">
        <v>752</v>
      </c>
      <c r="H2417"/>
      <c r="I2417"/>
    </row>
    <row r="2418" spans="1:9" x14ac:dyDescent="0.35">
      <c r="A2418" s="71">
        <f t="shared" si="75"/>
        <v>62000.099999999977</v>
      </c>
      <c r="B2418" s="72">
        <f t="shared" si="74"/>
        <v>-1000</v>
      </c>
      <c r="C2418" s="70">
        <v>2417</v>
      </c>
      <c r="E2418" s="66">
        <v>1000</v>
      </c>
      <c r="F2418" s="85">
        <v>45948</v>
      </c>
      <c r="G2418" s="64" t="s">
        <v>1183</v>
      </c>
      <c r="H2418"/>
      <c r="I2418"/>
    </row>
    <row r="2419" spans="1:9" x14ac:dyDescent="0.35">
      <c r="A2419" s="71">
        <f t="shared" si="75"/>
        <v>59000.099999999977</v>
      </c>
      <c r="B2419" s="72">
        <f t="shared" si="74"/>
        <v>-3000</v>
      </c>
      <c r="C2419" s="70">
        <v>2418</v>
      </c>
      <c r="E2419" s="66">
        <v>3000</v>
      </c>
      <c r="F2419" s="85">
        <v>45948</v>
      </c>
      <c r="G2419" s="64" t="s">
        <v>1360</v>
      </c>
      <c r="H2419"/>
      <c r="I2419"/>
    </row>
    <row r="2420" spans="1:9" x14ac:dyDescent="0.35">
      <c r="A2420" s="71">
        <f t="shared" si="75"/>
        <v>61130.099999999977</v>
      </c>
      <c r="B2420" s="72">
        <f t="shared" si="74"/>
        <v>2130</v>
      </c>
      <c r="C2420" s="70">
        <v>2419</v>
      </c>
      <c r="D2420" s="65">
        <v>2255</v>
      </c>
      <c r="E2420" s="66">
        <v>125</v>
      </c>
      <c r="F2420" s="85">
        <v>45948</v>
      </c>
      <c r="G2420" s="64" t="s">
        <v>1362</v>
      </c>
      <c r="H2420"/>
      <c r="I2420"/>
    </row>
    <row r="2421" spans="1:9" x14ac:dyDescent="0.35">
      <c r="A2421" s="71">
        <f t="shared" si="75"/>
        <v>61130.099999999977</v>
      </c>
      <c r="B2421" s="72">
        <f t="shared" si="74"/>
        <v>0</v>
      </c>
      <c r="C2421" s="70">
        <v>2420</v>
      </c>
      <c r="D2421" s="65">
        <v>300</v>
      </c>
      <c r="E2421" s="66">
        <v>300</v>
      </c>
      <c r="F2421" s="85">
        <v>45948</v>
      </c>
      <c r="G2421" s="64" t="s">
        <v>990</v>
      </c>
      <c r="H2421"/>
      <c r="I2421"/>
    </row>
    <row r="2422" spans="1:9" x14ac:dyDescent="0.35">
      <c r="A2422" s="71">
        <f t="shared" si="75"/>
        <v>61070.099999999977</v>
      </c>
      <c r="B2422" s="72">
        <f t="shared" si="74"/>
        <v>-60</v>
      </c>
      <c r="C2422" s="70">
        <v>2421</v>
      </c>
      <c r="E2422" s="66">
        <v>60</v>
      </c>
      <c r="F2422" s="85">
        <v>45949</v>
      </c>
      <c r="G2422" s="64" t="s">
        <v>1365</v>
      </c>
      <c r="H2422"/>
      <c r="I2422"/>
    </row>
    <row r="2423" spans="1:9" x14ac:dyDescent="0.35">
      <c r="A2423" s="71">
        <f t="shared" si="75"/>
        <v>54020.099999999977</v>
      </c>
      <c r="B2423" s="72">
        <f t="shared" si="74"/>
        <v>-7050</v>
      </c>
      <c r="C2423" s="70">
        <v>2422</v>
      </c>
      <c r="E2423" s="66">
        <v>7050</v>
      </c>
      <c r="F2423" s="85">
        <v>45949</v>
      </c>
      <c r="G2423" s="64" t="s">
        <v>1371</v>
      </c>
      <c r="H2423"/>
      <c r="I2423"/>
    </row>
    <row r="2424" spans="1:9" x14ac:dyDescent="0.35">
      <c r="A2424" s="71">
        <f t="shared" si="75"/>
        <v>53770.099999999977</v>
      </c>
      <c r="B2424" s="72">
        <f t="shared" si="74"/>
        <v>-250</v>
      </c>
      <c r="C2424" s="70">
        <v>2423</v>
      </c>
      <c r="E2424" s="66">
        <v>250</v>
      </c>
      <c r="F2424" s="85">
        <v>45949</v>
      </c>
      <c r="G2424" s="64" t="s">
        <v>1366</v>
      </c>
      <c r="H2424"/>
      <c r="I2424"/>
    </row>
    <row r="2425" spans="1:9" x14ac:dyDescent="0.35">
      <c r="A2425" s="71">
        <f t="shared" si="75"/>
        <v>67335.099999999977</v>
      </c>
      <c r="B2425" s="72">
        <f t="shared" si="74"/>
        <v>13565</v>
      </c>
      <c r="C2425" s="70">
        <v>2424</v>
      </c>
      <c r="D2425" s="65">
        <v>13565</v>
      </c>
      <c r="F2425" s="85">
        <v>45949</v>
      </c>
      <c r="G2425" s="64" t="s">
        <v>12</v>
      </c>
      <c r="H2425"/>
      <c r="I2425"/>
    </row>
    <row r="2426" spans="1:9" x14ac:dyDescent="0.35">
      <c r="A2426" s="71">
        <f t="shared" si="75"/>
        <v>66785.099999999977</v>
      </c>
      <c r="B2426" s="72">
        <f t="shared" si="74"/>
        <v>-550</v>
      </c>
      <c r="C2426" s="70">
        <v>2425</v>
      </c>
      <c r="E2426" s="66">
        <v>550</v>
      </c>
      <c r="F2426" s="85">
        <v>45949</v>
      </c>
      <c r="G2426" s="64" t="s">
        <v>1043</v>
      </c>
      <c r="H2426"/>
      <c r="I2426"/>
    </row>
    <row r="2427" spans="1:9" x14ac:dyDescent="0.35">
      <c r="A2427" s="71">
        <f t="shared" si="75"/>
        <v>66770.099999999977</v>
      </c>
      <c r="B2427" s="72">
        <f t="shared" si="74"/>
        <v>-15</v>
      </c>
      <c r="C2427" s="70">
        <v>2426</v>
      </c>
      <c r="E2427" s="66">
        <v>15</v>
      </c>
      <c r="F2427" s="85">
        <v>45949</v>
      </c>
      <c r="G2427" s="64" t="s">
        <v>432</v>
      </c>
      <c r="H2427"/>
      <c r="I2427"/>
    </row>
    <row r="2428" spans="1:9" x14ac:dyDescent="0.35">
      <c r="A2428" s="71">
        <f t="shared" si="75"/>
        <v>66680.099999999977</v>
      </c>
      <c r="B2428" s="72">
        <f t="shared" si="74"/>
        <v>-90</v>
      </c>
      <c r="C2428" s="70">
        <v>2427</v>
      </c>
      <c r="E2428" s="66">
        <v>90</v>
      </c>
      <c r="F2428" s="85">
        <v>45949</v>
      </c>
      <c r="G2428" s="64" t="s">
        <v>437</v>
      </c>
      <c r="H2428"/>
      <c r="I2428"/>
    </row>
    <row r="2429" spans="1:9" x14ac:dyDescent="0.35">
      <c r="A2429" s="71">
        <f t="shared" si="75"/>
        <v>66180.099999999977</v>
      </c>
      <c r="B2429" s="72">
        <f t="shared" si="74"/>
        <v>-500</v>
      </c>
      <c r="C2429" s="70">
        <v>2428</v>
      </c>
      <c r="E2429" s="66">
        <v>500</v>
      </c>
      <c r="F2429" s="85">
        <v>45949</v>
      </c>
      <c r="G2429" s="64" t="s">
        <v>541</v>
      </c>
      <c r="H2429"/>
      <c r="I2429"/>
    </row>
    <row r="2430" spans="1:9" x14ac:dyDescent="0.35">
      <c r="A2430" s="71">
        <f t="shared" si="75"/>
        <v>65330.099999999977</v>
      </c>
      <c r="B2430" s="72">
        <f t="shared" si="74"/>
        <v>-850</v>
      </c>
      <c r="C2430" s="70">
        <v>2429</v>
      </c>
      <c r="E2430" s="66">
        <v>850</v>
      </c>
      <c r="F2430" s="85">
        <v>45950</v>
      </c>
      <c r="G2430" s="64" t="s">
        <v>64</v>
      </c>
      <c r="H2430"/>
      <c r="I2430"/>
    </row>
    <row r="2431" spans="1:9" x14ac:dyDescent="0.35">
      <c r="A2431" s="71">
        <f t="shared" si="75"/>
        <v>64930.099999999977</v>
      </c>
      <c r="B2431" s="72">
        <f t="shared" si="74"/>
        <v>-400</v>
      </c>
      <c r="C2431" s="70">
        <v>2430</v>
      </c>
      <c r="E2431" s="66">
        <v>400</v>
      </c>
      <c r="F2431" s="85">
        <v>45950</v>
      </c>
      <c r="G2431" s="64" t="s">
        <v>1367</v>
      </c>
      <c r="H2431"/>
      <c r="I2431"/>
    </row>
    <row r="2432" spans="1:9" x14ac:dyDescent="0.35">
      <c r="A2432" s="71">
        <f t="shared" si="75"/>
        <v>64930.099999999977</v>
      </c>
      <c r="B2432" s="72">
        <f t="shared" si="74"/>
        <v>0</v>
      </c>
      <c r="C2432" s="70">
        <v>2431</v>
      </c>
      <c r="D2432" s="65">
        <v>30000</v>
      </c>
      <c r="E2432" s="66">
        <v>30000</v>
      </c>
      <c r="F2432" s="85">
        <v>45950</v>
      </c>
      <c r="G2432" s="64" t="s">
        <v>1368</v>
      </c>
      <c r="H2432"/>
      <c r="I2432"/>
    </row>
    <row r="2433" spans="1:9" x14ac:dyDescent="0.35">
      <c r="A2433" s="71">
        <f t="shared" si="75"/>
        <v>69475.099999999977</v>
      </c>
      <c r="B2433" s="72">
        <f t="shared" si="74"/>
        <v>4545</v>
      </c>
      <c r="C2433" s="70">
        <v>2432</v>
      </c>
      <c r="D2433" s="65">
        <v>4725</v>
      </c>
      <c r="E2433" s="66">
        <v>180</v>
      </c>
      <c r="F2433" s="85">
        <v>45950</v>
      </c>
      <c r="G2433" s="64" t="s">
        <v>437</v>
      </c>
      <c r="H2433"/>
      <c r="I2433"/>
    </row>
    <row r="2434" spans="1:9" x14ac:dyDescent="0.35">
      <c r="A2434" s="71">
        <f t="shared" si="75"/>
        <v>69455.099999999977</v>
      </c>
      <c r="B2434" s="72">
        <f t="shared" si="74"/>
        <v>-20</v>
      </c>
      <c r="C2434" s="70">
        <v>2433</v>
      </c>
      <c r="E2434" s="66">
        <v>20</v>
      </c>
      <c r="F2434" s="85">
        <v>45950</v>
      </c>
      <c r="G2434" s="64" t="s">
        <v>296</v>
      </c>
      <c r="H2434"/>
      <c r="I2434"/>
    </row>
    <row r="2435" spans="1:9" x14ac:dyDescent="0.35">
      <c r="A2435" s="71">
        <f t="shared" si="75"/>
        <v>104425.09999999998</v>
      </c>
      <c r="B2435" s="72">
        <f t="shared" ref="B2435:B2498" si="76">SUM(D2435-E2435)</f>
        <v>34970</v>
      </c>
      <c r="C2435" s="70">
        <v>2434</v>
      </c>
      <c r="D2435" s="65">
        <v>34970</v>
      </c>
      <c r="F2435" s="85">
        <v>45951</v>
      </c>
      <c r="G2435" s="64" t="s">
        <v>12</v>
      </c>
      <c r="H2435"/>
      <c r="I2435"/>
    </row>
    <row r="2436" spans="1:9" x14ac:dyDescent="0.35">
      <c r="A2436" s="71">
        <f t="shared" ref="A2436:A2499" si="77">SUM(A2435+B2436)</f>
        <v>104025.09999999998</v>
      </c>
      <c r="B2436" s="72">
        <f t="shared" si="76"/>
        <v>-400</v>
      </c>
      <c r="C2436" s="70">
        <v>2435</v>
      </c>
      <c r="E2436" s="66">
        <v>400</v>
      </c>
      <c r="F2436" s="85">
        <v>45769</v>
      </c>
      <c r="G2436" s="64" t="s">
        <v>990</v>
      </c>
      <c r="H2436"/>
      <c r="I2436"/>
    </row>
    <row r="2437" spans="1:9" x14ac:dyDescent="0.35">
      <c r="A2437" s="71">
        <f t="shared" si="77"/>
        <v>103675.09999999998</v>
      </c>
      <c r="B2437" s="72">
        <f t="shared" si="76"/>
        <v>-350</v>
      </c>
      <c r="C2437" s="70">
        <v>2436</v>
      </c>
      <c r="E2437" s="66">
        <v>350</v>
      </c>
      <c r="F2437" s="85">
        <v>45769</v>
      </c>
      <c r="G2437" s="64" t="s">
        <v>1369</v>
      </c>
      <c r="H2437"/>
      <c r="I2437"/>
    </row>
    <row r="2438" spans="1:9" x14ac:dyDescent="0.35">
      <c r="A2438" s="71">
        <f t="shared" si="77"/>
        <v>101795.09999999998</v>
      </c>
      <c r="B2438" s="72">
        <f t="shared" si="76"/>
        <v>-1880</v>
      </c>
      <c r="C2438" s="70">
        <v>2437</v>
      </c>
      <c r="E2438" s="66">
        <v>1880</v>
      </c>
      <c r="F2438" s="85">
        <v>45769</v>
      </c>
      <c r="G2438" s="64" t="s">
        <v>244</v>
      </c>
      <c r="H2438"/>
      <c r="I2438"/>
    </row>
    <row r="2439" spans="1:9" x14ac:dyDescent="0.35">
      <c r="A2439" s="71">
        <f t="shared" si="77"/>
        <v>117715.09999999998</v>
      </c>
      <c r="B2439" s="72">
        <f t="shared" si="76"/>
        <v>15920</v>
      </c>
      <c r="C2439" s="70">
        <v>2438</v>
      </c>
      <c r="D2439" s="65">
        <v>16010</v>
      </c>
      <c r="E2439" s="66">
        <v>90</v>
      </c>
      <c r="F2439" s="85">
        <v>45952</v>
      </c>
      <c r="G2439" s="64" t="s">
        <v>400</v>
      </c>
      <c r="H2439"/>
      <c r="I2439"/>
    </row>
    <row r="2440" spans="1:9" x14ac:dyDescent="0.35">
      <c r="A2440" s="71">
        <f t="shared" si="77"/>
        <v>114715.09999999998</v>
      </c>
      <c r="B2440" s="72">
        <f t="shared" si="76"/>
        <v>-3000</v>
      </c>
      <c r="C2440" s="70">
        <v>2439</v>
      </c>
      <c r="D2440" s="65">
        <v>20000</v>
      </c>
      <c r="E2440" s="66">
        <v>23000</v>
      </c>
      <c r="F2440" s="85">
        <v>45952</v>
      </c>
      <c r="G2440" s="64" t="s">
        <v>1378</v>
      </c>
      <c r="H2440"/>
      <c r="I2440"/>
    </row>
    <row r="2441" spans="1:9" x14ac:dyDescent="0.35">
      <c r="A2441" s="71">
        <f t="shared" si="77"/>
        <v>114625.09999999998</v>
      </c>
      <c r="B2441" s="72">
        <f t="shared" si="76"/>
        <v>-90</v>
      </c>
      <c r="C2441" s="70">
        <v>2440</v>
      </c>
      <c r="E2441" s="66">
        <v>90</v>
      </c>
      <c r="F2441" s="85">
        <v>45952</v>
      </c>
      <c r="G2441" s="64" t="s">
        <v>752</v>
      </c>
      <c r="H2441"/>
      <c r="I2441"/>
    </row>
    <row r="2442" spans="1:9" x14ac:dyDescent="0.35">
      <c r="A2442" s="71">
        <f t="shared" si="77"/>
        <v>114625.09999999998</v>
      </c>
      <c r="B2442" s="72">
        <f t="shared" si="76"/>
        <v>0</v>
      </c>
      <c r="C2442" s="70">
        <v>2441</v>
      </c>
      <c r="D2442" s="65">
        <v>1500</v>
      </c>
      <c r="E2442" s="66">
        <v>1500</v>
      </c>
      <c r="F2442" s="85">
        <v>45953</v>
      </c>
      <c r="G2442" s="64" t="s">
        <v>1372</v>
      </c>
      <c r="H2442"/>
      <c r="I2442"/>
    </row>
    <row r="2443" spans="1:9" x14ac:dyDescent="0.35">
      <c r="A2443" s="71">
        <f t="shared" si="77"/>
        <v>114625.09999999998</v>
      </c>
      <c r="B2443" s="72">
        <f t="shared" si="76"/>
        <v>0</v>
      </c>
      <c r="C2443" s="70">
        <v>2442</v>
      </c>
      <c r="D2443" s="65">
        <v>1500</v>
      </c>
      <c r="E2443" s="66">
        <v>1500</v>
      </c>
      <c r="F2443" s="85">
        <v>45953</v>
      </c>
      <c r="G2443" s="64" t="s">
        <v>1370</v>
      </c>
      <c r="H2443"/>
      <c r="I2443"/>
    </row>
    <row r="2444" spans="1:9" x14ac:dyDescent="0.35">
      <c r="A2444" s="71">
        <f t="shared" si="77"/>
        <v>116330.09999999998</v>
      </c>
      <c r="B2444" s="72">
        <f t="shared" si="76"/>
        <v>1705</v>
      </c>
      <c r="C2444" s="70">
        <v>2443</v>
      </c>
      <c r="D2444" s="65">
        <v>1825</v>
      </c>
      <c r="E2444" s="66">
        <v>120</v>
      </c>
      <c r="F2444" s="85">
        <v>45953</v>
      </c>
      <c r="G2444" s="64" t="s">
        <v>1162</v>
      </c>
      <c r="H2444"/>
      <c r="I2444"/>
    </row>
    <row r="2445" spans="1:9" x14ac:dyDescent="0.35">
      <c r="A2445" s="71">
        <f t="shared" si="77"/>
        <v>115380.09999999998</v>
      </c>
      <c r="B2445" s="72">
        <f t="shared" si="76"/>
        <v>-950</v>
      </c>
      <c r="C2445" s="70">
        <v>2444</v>
      </c>
      <c r="E2445" s="66">
        <v>950</v>
      </c>
      <c r="F2445" s="85">
        <v>45953</v>
      </c>
      <c r="G2445" s="64" t="s">
        <v>759</v>
      </c>
      <c r="H2445"/>
      <c r="I2445"/>
    </row>
    <row r="2446" spans="1:9" x14ac:dyDescent="0.35">
      <c r="A2446" s="71">
        <f t="shared" si="77"/>
        <v>115200.09999999998</v>
      </c>
      <c r="B2446" s="72">
        <f t="shared" si="76"/>
        <v>-180</v>
      </c>
      <c r="C2446" s="70">
        <v>2445</v>
      </c>
      <c r="E2446" s="66">
        <v>180</v>
      </c>
      <c r="F2446" s="85">
        <v>45953</v>
      </c>
      <c r="G2446" s="64" t="s">
        <v>437</v>
      </c>
      <c r="H2446"/>
      <c r="I2446"/>
    </row>
    <row r="2447" spans="1:9" x14ac:dyDescent="0.35">
      <c r="A2447" s="71">
        <f t="shared" si="77"/>
        <v>121225.09999999998</v>
      </c>
      <c r="B2447" s="72">
        <f t="shared" si="76"/>
        <v>6025</v>
      </c>
      <c r="C2447" s="70">
        <v>2446</v>
      </c>
      <c r="D2447" s="65">
        <v>6225</v>
      </c>
      <c r="E2447" s="66">
        <v>200</v>
      </c>
      <c r="F2447" s="85">
        <v>45955</v>
      </c>
      <c r="G2447" s="64" t="s">
        <v>805</v>
      </c>
      <c r="H2447"/>
      <c r="I2447"/>
    </row>
    <row r="2448" spans="1:9" x14ac:dyDescent="0.35">
      <c r="A2448" s="71">
        <f t="shared" si="77"/>
        <v>121205.09999999998</v>
      </c>
      <c r="B2448" s="72">
        <f t="shared" si="76"/>
        <v>-20</v>
      </c>
      <c r="C2448" s="70">
        <v>2447</v>
      </c>
      <c r="E2448" s="66">
        <v>20</v>
      </c>
      <c r="F2448" s="85">
        <v>45955</v>
      </c>
      <c r="G2448" s="64" t="s">
        <v>332</v>
      </c>
      <c r="H2448"/>
      <c r="I2448"/>
    </row>
    <row r="2449" spans="1:9" x14ac:dyDescent="0.35">
      <c r="A2449" s="71">
        <f t="shared" si="77"/>
        <v>121115.09999999998</v>
      </c>
      <c r="B2449" s="72">
        <f t="shared" si="76"/>
        <v>-90</v>
      </c>
      <c r="C2449" s="70">
        <v>2448</v>
      </c>
      <c r="E2449" s="66">
        <v>90</v>
      </c>
      <c r="F2449" s="85">
        <v>45955</v>
      </c>
      <c r="G2449" s="64" t="s">
        <v>437</v>
      </c>
      <c r="H2449"/>
      <c r="I2449"/>
    </row>
    <row r="2450" spans="1:9" x14ac:dyDescent="0.35">
      <c r="A2450" s="71">
        <f t="shared" si="77"/>
        <v>121065.09999999998</v>
      </c>
      <c r="B2450" s="72">
        <f t="shared" si="76"/>
        <v>-50</v>
      </c>
      <c r="C2450" s="70">
        <v>2449</v>
      </c>
      <c r="E2450" s="66">
        <v>50</v>
      </c>
      <c r="F2450" s="85">
        <v>45956</v>
      </c>
      <c r="G2450" s="64" t="s">
        <v>1373</v>
      </c>
      <c r="H2450"/>
      <c r="I2450"/>
    </row>
    <row r="2451" spans="1:9" x14ac:dyDescent="0.35">
      <c r="A2451" s="71">
        <f t="shared" si="77"/>
        <v>120915.09999999998</v>
      </c>
      <c r="B2451" s="72">
        <f t="shared" si="76"/>
        <v>-150</v>
      </c>
      <c r="C2451" s="70">
        <v>2450</v>
      </c>
      <c r="E2451" s="66">
        <v>150</v>
      </c>
      <c r="F2451" s="85">
        <v>45956</v>
      </c>
      <c r="G2451" s="64" t="s">
        <v>1241</v>
      </c>
      <c r="H2451"/>
      <c r="I2451"/>
    </row>
    <row r="2452" spans="1:9" x14ac:dyDescent="0.35">
      <c r="A2452" s="71">
        <f t="shared" si="77"/>
        <v>138145.09999999998</v>
      </c>
      <c r="B2452" s="72">
        <f t="shared" si="76"/>
        <v>17230</v>
      </c>
      <c r="C2452" s="70">
        <v>2451</v>
      </c>
      <c r="D2452" s="65">
        <v>17280</v>
      </c>
      <c r="E2452" s="66">
        <v>50</v>
      </c>
      <c r="F2452" s="85">
        <v>45956</v>
      </c>
      <c r="G2452" s="64" t="s">
        <v>865</v>
      </c>
      <c r="H2452"/>
      <c r="I2452"/>
    </row>
    <row r="2453" spans="1:9" x14ac:dyDescent="0.35">
      <c r="A2453" s="71">
        <f t="shared" si="77"/>
        <v>138120.09999999998</v>
      </c>
      <c r="B2453" s="72">
        <f t="shared" si="76"/>
        <v>-25</v>
      </c>
      <c r="C2453" s="70">
        <v>2452</v>
      </c>
      <c r="E2453" s="66">
        <v>25</v>
      </c>
      <c r="F2453" s="85">
        <v>45956</v>
      </c>
      <c r="G2453" s="64" t="s">
        <v>1374</v>
      </c>
      <c r="H2453"/>
      <c r="I2453"/>
    </row>
    <row r="2454" spans="1:9" x14ac:dyDescent="0.35">
      <c r="A2454" s="71">
        <f t="shared" si="77"/>
        <v>137960.09999999998</v>
      </c>
      <c r="B2454" s="72">
        <f t="shared" si="76"/>
        <v>-160</v>
      </c>
      <c r="C2454" s="70">
        <v>2453</v>
      </c>
      <c r="E2454" s="66">
        <v>160</v>
      </c>
      <c r="F2454" s="85">
        <v>45956</v>
      </c>
      <c r="G2454" s="64" t="s">
        <v>65</v>
      </c>
      <c r="H2454"/>
      <c r="I2454"/>
    </row>
    <row r="2455" spans="1:9" x14ac:dyDescent="0.35">
      <c r="A2455" s="71">
        <f t="shared" si="77"/>
        <v>137910.09999999998</v>
      </c>
      <c r="B2455" s="72">
        <f t="shared" si="76"/>
        <v>-50</v>
      </c>
      <c r="C2455" s="70">
        <v>2454</v>
      </c>
      <c r="E2455" s="66">
        <v>50</v>
      </c>
      <c r="F2455" s="85">
        <v>45956</v>
      </c>
      <c r="G2455" s="64" t="s">
        <v>1375</v>
      </c>
      <c r="H2455"/>
      <c r="I2455"/>
    </row>
    <row r="2456" spans="1:9" x14ac:dyDescent="0.35">
      <c r="A2456" s="71">
        <f t="shared" si="77"/>
        <v>137820.09999999998</v>
      </c>
      <c r="B2456" s="72">
        <f t="shared" si="76"/>
        <v>-90</v>
      </c>
      <c r="C2456" s="70">
        <v>2455</v>
      </c>
      <c r="E2456" s="66">
        <v>90</v>
      </c>
      <c r="F2456" s="85">
        <v>45956</v>
      </c>
      <c r="G2456" s="64" t="s">
        <v>437</v>
      </c>
      <c r="H2456"/>
      <c r="I2456"/>
    </row>
    <row r="2457" spans="1:9" x14ac:dyDescent="0.35">
      <c r="A2457" s="71">
        <f t="shared" si="77"/>
        <v>135820.09999999998</v>
      </c>
      <c r="B2457" s="72">
        <f t="shared" si="76"/>
        <v>-2000</v>
      </c>
      <c r="C2457" s="70">
        <v>2456</v>
      </c>
      <c r="E2457" s="66">
        <v>2000</v>
      </c>
      <c r="F2457" s="85">
        <v>45957</v>
      </c>
      <c r="G2457" s="64" t="s">
        <v>1376</v>
      </c>
      <c r="H2457"/>
      <c r="I2457"/>
    </row>
    <row r="2458" spans="1:9" x14ac:dyDescent="0.35">
      <c r="A2458" s="71">
        <f t="shared" si="77"/>
        <v>135820.09999999998</v>
      </c>
      <c r="B2458" s="72">
        <f t="shared" si="76"/>
        <v>0</v>
      </c>
      <c r="C2458" s="70">
        <v>2457</v>
      </c>
      <c r="D2458" s="65">
        <v>1000</v>
      </c>
      <c r="E2458" s="66">
        <v>1000</v>
      </c>
      <c r="F2458" s="85">
        <v>45957</v>
      </c>
      <c r="G2458" s="64" t="s">
        <v>1377</v>
      </c>
      <c r="H2458"/>
      <c r="I2458"/>
    </row>
    <row r="2459" spans="1:9" x14ac:dyDescent="0.35">
      <c r="A2459" s="71">
        <f t="shared" si="77"/>
        <v>136705.09999999998</v>
      </c>
      <c r="B2459" s="72">
        <f t="shared" si="76"/>
        <v>885</v>
      </c>
      <c r="C2459" s="70">
        <v>2458</v>
      </c>
      <c r="D2459" s="65">
        <v>905</v>
      </c>
      <c r="E2459" s="66">
        <v>20</v>
      </c>
      <c r="F2459" s="85">
        <v>45957</v>
      </c>
      <c r="G2459" s="64" t="s">
        <v>1382</v>
      </c>
      <c r="H2459"/>
      <c r="I2459"/>
    </row>
    <row r="2460" spans="1:9" x14ac:dyDescent="0.35">
      <c r="A2460" s="71">
        <f t="shared" si="77"/>
        <v>133805.09999999998</v>
      </c>
      <c r="B2460" s="72">
        <f t="shared" si="76"/>
        <v>-2900</v>
      </c>
      <c r="C2460" s="70">
        <v>2459</v>
      </c>
      <c r="E2460" s="66">
        <v>2900</v>
      </c>
      <c r="F2460" s="85">
        <v>45957</v>
      </c>
      <c r="G2460" s="64" t="s">
        <v>1379</v>
      </c>
      <c r="H2460"/>
      <c r="I2460"/>
    </row>
    <row r="2461" spans="1:9" x14ac:dyDescent="0.35">
      <c r="A2461" s="71">
        <f t="shared" si="77"/>
        <v>133305.09999999998</v>
      </c>
      <c r="B2461" s="72">
        <f t="shared" si="76"/>
        <v>-500</v>
      </c>
      <c r="C2461" s="70">
        <v>2460</v>
      </c>
      <c r="E2461" s="66">
        <v>500</v>
      </c>
      <c r="F2461" s="85">
        <v>45957</v>
      </c>
      <c r="G2461" s="64" t="s">
        <v>1380</v>
      </c>
      <c r="H2461"/>
      <c r="I2461"/>
    </row>
    <row r="2462" spans="1:9" x14ac:dyDescent="0.35">
      <c r="A2462" s="71">
        <f t="shared" si="77"/>
        <v>126805.09999999998</v>
      </c>
      <c r="B2462" s="72">
        <f t="shared" si="76"/>
        <v>-6500</v>
      </c>
      <c r="C2462" s="70">
        <v>2461</v>
      </c>
      <c r="E2462" s="66">
        <v>6500</v>
      </c>
      <c r="F2462" s="85">
        <v>45957</v>
      </c>
      <c r="G2462" s="64" t="s">
        <v>1157</v>
      </c>
      <c r="H2462"/>
      <c r="I2462"/>
    </row>
    <row r="2463" spans="1:9" x14ac:dyDescent="0.35">
      <c r="A2463" s="71">
        <f t="shared" si="77"/>
        <v>121755.09999999998</v>
      </c>
      <c r="B2463" s="72">
        <f t="shared" si="76"/>
        <v>-5050</v>
      </c>
      <c r="C2463" s="70">
        <v>2462</v>
      </c>
      <c r="D2463" s="65">
        <v>0</v>
      </c>
      <c r="E2463" s="66">
        <v>5050</v>
      </c>
      <c r="F2463" s="85">
        <v>45957</v>
      </c>
      <c r="G2463" s="64" t="s">
        <v>1381</v>
      </c>
      <c r="H2463"/>
      <c r="I2463"/>
    </row>
    <row r="2464" spans="1:9" x14ac:dyDescent="0.35">
      <c r="A2464" s="71">
        <f t="shared" si="77"/>
        <v>142865.09999999998</v>
      </c>
      <c r="B2464" s="72">
        <f t="shared" si="76"/>
        <v>21110</v>
      </c>
      <c r="C2464" s="70">
        <v>2463</v>
      </c>
      <c r="D2464" s="65">
        <v>21210</v>
      </c>
      <c r="E2464" s="66">
        <v>100</v>
      </c>
      <c r="F2464" s="85">
        <v>45958</v>
      </c>
      <c r="G2464" s="64" t="s">
        <v>1384</v>
      </c>
      <c r="H2464"/>
      <c r="I2464"/>
    </row>
    <row r="2465" spans="1:9" x14ac:dyDescent="0.35">
      <c r="A2465" s="71">
        <f t="shared" si="77"/>
        <v>142800.09999999998</v>
      </c>
      <c r="B2465" s="72">
        <f t="shared" si="76"/>
        <v>-65</v>
      </c>
      <c r="C2465" s="70">
        <v>2464</v>
      </c>
      <c r="E2465" s="66">
        <v>65</v>
      </c>
      <c r="F2465" s="85">
        <v>45958</v>
      </c>
      <c r="G2465" s="64" t="s">
        <v>1043</v>
      </c>
      <c r="H2465"/>
      <c r="I2465"/>
    </row>
    <row r="2466" spans="1:9" x14ac:dyDescent="0.35">
      <c r="A2466" s="71">
        <f t="shared" si="77"/>
        <v>142800.09999999998</v>
      </c>
      <c r="B2466" s="72">
        <f t="shared" si="76"/>
        <v>0</v>
      </c>
      <c r="C2466" s="70">
        <v>2465</v>
      </c>
      <c r="D2466" s="65">
        <v>20</v>
      </c>
      <c r="E2466" s="66">
        <v>20</v>
      </c>
      <c r="F2466" s="85">
        <v>45958</v>
      </c>
      <c r="G2466" s="64" t="s">
        <v>332</v>
      </c>
      <c r="H2466"/>
      <c r="I2466"/>
    </row>
    <row r="2467" spans="1:9" x14ac:dyDescent="0.35">
      <c r="A2467" s="71">
        <f t="shared" si="77"/>
        <v>142800.09999999998</v>
      </c>
      <c r="B2467" s="72">
        <f t="shared" si="76"/>
        <v>0</v>
      </c>
      <c r="C2467" s="70">
        <v>2466</v>
      </c>
      <c r="D2467" s="65">
        <v>300</v>
      </c>
      <c r="E2467" s="66">
        <v>300</v>
      </c>
      <c r="F2467" s="85">
        <v>45958</v>
      </c>
      <c r="G2467" s="64" t="s">
        <v>1383</v>
      </c>
      <c r="H2467"/>
      <c r="I2467"/>
    </row>
    <row r="2468" spans="1:9" x14ac:dyDescent="0.35">
      <c r="A2468" s="71">
        <f t="shared" si="77"/>
        <v>141800.09999999998</v>
      </c>
      <c r="B2468" s="72">
        <f t="shared" si="76"/>
        <v>-1000</v>
      </c>
      <c r="C2468" s="70">
        <v>2467</v>
      </c>
      <c r="E2468" s="66">
        <v>1000</v>
      </c>
      <c r="F2468" s="85">
        <v>45959</v>
      </c>
      <c r="G2468" s="64" t="s">
        <v>1293</v>
      </c>
      <c r="H2468"/>
      <c r="I2468"/>
    </row>
    <row r="2469" spans="1:9" x14ac:dyDescent="0.35">
      <c r="A2469" s="71">
        <f t="shared" si="77"/>
        <v>140600.09999999998</v>
      </c>
      <c r="B2469" s="72">
        <f t="shared" si="76"/>
        <v>-1200</v>
      </c>
      <c r="C2469" s="70">
        <v>2468</v>
      </c>
      <c r="E2469" s="66">
        <v>1200</v>
      </c>
      <c r="F2469" s="85">
        <v>45959</v>
      </c>
      <c r="G2469" s="64" t="s">
        <v>1386</v>
      </c>
      <c r="H2469"/>
      <c r="I2469"/>
    </row>
    <row r="2470" spans="1:9" x14ac:dyDescent="0.35">
      <c r="A2470" s="71">
        <f t="shared" si="77"/>
        <v>140280.09999999998</v>
      </c>
      <c r="B2470" s="72">
        <f t="shared" si="76"/>
        <v>-320</v>
      </c>
      <c r="C2470" s="70">
        <v>2469</v>
      </c>
      <c r="E2470" s="66">
        <v>320</v>
      </c>
      <c r="F2470" s="85">
        <v>45959</v>
      </c>
      <c r="G2470" s="64" t="s">
        <v>75</v>
      </c>
      <c r="H2470"/>
      <c r="I2470"/>
    </row>
    <row r="2471" spans="1:9" x14ac:dyDescent="0.35">
      <c r="A2471" s="71">
        <f t="shared" si="77"/>
        <v>140280.09999999998</v>
      </c>
      <c r="B2471" s="72">
        <f t="shared" si="76"/>
        <v>0</v>
      </c>
      <c r="C2471" s="70">
        <v>2470</v>
      </c>
      <c r="D2471" s="65">
        <v>200</v>
      </c>
      <c r="E2471" s="66">
        <v>200</v>
      </c>
      <c r="F2471" s="85">
        <v>45959</v>
      </c>
      <c r="G2471" s="64" t="s">
        <v>1477</v>
      </c>
      <c r="H2471"/>
      <c r="I2471"/>
    </row>
    <row r="2472" spans="1:9" x14ac:dyDescent="0.35">
      <c r="A2472" s="71">
        <f t="shared" si="77"/>
        <v>140280.09999999998</v>
      </c>
      <c r="B2472" s="72">
        <f t="shared" si="76"/>
        <v>0</v>
      </c>
      <c r="C2472" s="70">
        <v>2471</v>
      </c>
      <c r="D2472" s="65">
        <v>300</v>
      </c>
      <c r="E2472" s="66">
        <v>300</v>
      </c>
      <c r="F2472" s="85">
        <v>45959</v>
      </c>
      <c r="G2472" s="64" t="s">
        <v>1483</v>
      </c>
      <c r="H2472"/>
      <c r="I2472"/>
    </row>
    <row r="2473" spans="1:9" x14ac:dyDescent="0.35">
      <c r="A2473" s="71">
        <f t="shared" si="77"/>
        <v>140280.09999999998</v>
      </c>
      <c r="B2473" s="72">
        <f t="shared" si="76"/>
        <v>0</v>
      </c>
      <c r="C2473" s="70">
        <v>2472</v>
      </c>
      <c r="D2473" s="65">
        <v>200</v>
      </c>
      <c r="E2473" s="66">
        <v>200</v>
      </c>
      <c r="F2473" s="85">
        <v>45959</v>
      </c>
      <c r="G2473" s="64" t="s">
        <v>1286</v>
      </c>
      <c r="H2473"/>
      <c r="I2473"/>
    </row>
    <row r="2474" spans="1:9" x14ac:dyDescent="0.35">
      <c r="A2474" s="71">
        <f t="shared" si="77"/>
        <v>152640.09999999998</v>
      </c>
      <c r="B2474" s="72">
        <f t="shared" si="76"/>
        <v>12360</v>
      </c>
      <c r="C2474" s="70">
        <v>2473</v>
      </c>
      <c r="D2474" s="65">
        <v>22360</v>
      </c>
      <c r="E2474" s="66">
        <v>10000</v>
      </c>
      <c r="F2474" s="85">
        <v>45959</v>
      </c>
      <c r="G2474" s="64" t="s">
        <v>1387</v>
      </c>
      <c r="H2474"/>
      <c r="I2474"/>
    </row>
    <row r="2475" spans="1:9" x14ac:dyDescent="0.35">
      <c r="A2475" s="71">
        <f t="shared" si="77"/>
        <v>152640.09999999998</v>
      </c>
      <c r="B2475" s="72">
        <f t="shared" si="76"/>
        <v>0</v>
      </c>
      <c r="C2475" s="70">
        <v>2474</v>
      </c>
      <c r="D2475" s="65">
        <v>4000</v>
      </c>
      <c r="E2475" s="66">
        <v>4000</v>
      </c>
      <c r="F2475" s="85">
        <v>45959</v>
      </c>
      <c r="G2475" s="64" t="s">
        <v>1388</v>
      </c>
      <c r="H2475"/>
      <c r="I2475"/>
    </row>
    <row r="2476" spans="1:9" x14ac:dyDescent="0.35">
      <c r="A2476" s="71">
        <f t="shared" si="77"/>
        <v>152550.09999999998</v>
      </c>
      <c r="B2476" s="72">
        <f t="shared" si="76"/>
        <v>-90</v>
      </c>
      <c r="C2476" s="70">
        <v>2475</v>
      </c>
      <c r="E2476" s="66">
        <v>90</v>
      </c>
      <c r="F2476" s="85">
        <v>45959</v>
      </c>
      <c r="G2476" s="64" t="s">
        <v>752</v>
      </c>
      <c r="H2476"/>
      <c r="I2476"/>
    </row>
    <row r="2477" spans="1:9" x14ac:dyDescent="0.35">
      <c r="A2477" s="71">
        <f t="shared" si="77"/>
        <v>152335.09999999998</v>
      </c>
      <c r="B2477" s="72">
        <f t="shared" si="76"/>
        <v>-215</v>
      </c>
      <c r="C2477" s="70">
        <v>2476</v>
      </c>
      <c r="E2477" s="66">
        <v>215</v>
      </c>
      <c r="F2477" s="85">
        <v>45959</v>
      </c>
      <c r="G2477" s="64" t="s">
        <v>1043</v>
      </c>
      <c r="H2477"/>
      <c r="I2477"/>
    </row>
    <row r="2478" spans="1:9" x14ac:dyDescent="0.35">
      <c r="A2478" s="71">
        <f t="shared" si="77"/>
        <v>153800.09999999998</v>
      </c>
      <c r="B2478" s="72">
        <f t="shared" si="76"/>
        <v>1465</v>
      </c>
      <c r="C2478" s="70">
        <v>2477</v>
      </c>
      <c r="D2478" s="65">
        <v>1730</v>
      </c>
      <c r="E2478" s="66">
        <v>265</v>
      </c>
      <c r="F2478" s="85">
        <v>45960</v>
      </c>
      <c r="G2478" s="64" t="s">
        <v>1389</v>
      </c>
      <c r="H2478"/>
      <c r="I2478"/>
    </row>
    <row r="2479" spans="1:9" x14ac:dyDescent="0.35">
      <c r="A2479" s="71">
        <f t="shared" si="77"/>
        <v>153755.09999999998</v>
      </c>
      <c r="B2479" s="72">
        <f t="shared" si="76"/>
        <v>-45</v>
      </c>
      <c r="C2479" s="70">
        <v>2478</v>
      </c>
      <c r="E2479" s="66">
        <v>45</v>
      </c>
      <c r="F2479" s="85">
        <v>45960</v>
      </c>
      <c r="G2479" s="64" t="s">
        <v>1394</v>
      </c>
      <c r="H2479"/>
      <c r="I2479"/>
    </row>
    <row r="2480" spans="1:9" x14ac:dyDescent="0.35">
      <c r="A2480" s="71">
        <f t="shared" si="77"/>
        <v>153625.09999999998</v>
      </c>
      <c r="B2480" s="72">
        <f t="shared" si="76"/>
        <v>-130</v>
      </c>
      <c r="C2480" s="70">
        <v>2479</v>
      </c>
      <c r="E2480" s="66">
        <v>130</v>
      </c>
      <c r="F2480" s="85">
        <v>45960</v>
      </c>
      <c r="G2480" s="64" t="s">
        <v>36</v>
      </c>
      <c r="H2480"/>
      <c r="I2480"/>
    </row>
    <row r="2481" spans="1:9" x14ac:dyDescent="0.35">
      <c r="A2481" s="71">
        <f t="shared" si="77"/>
        <v>153350.09999999998</v>
      </c>
      <c r="B2481" s="72">
        <f t="shared" si="76"/>
        <v>-275</v>
      </c>
      <c r="C2481" s="70">
        <v>2480</v>
      </c>
      <c r="E2481" s="66">
        <v>275</v>
      </c>
      <c r="F2481" s="85">
        <v>45960</v>
      </c>
      <c r="G2481" s="64" t="s">
        <v>50</v>
      </c>
      <c r="H2481"/>
      <c r="I2481"/>
    </row>
    <row r="2482" spans="1:9" x14ac:dyDescent="0.35">
      <c r="A2482" s="71">
        <f t="shared" si="77"/>
        <v>153110.09999999998</v>
      </c>
      <c r="B2482" s="72">
        <f t="shared" si="76"/>
        <v>-240</v>
      </c>
      <c r="C2482" s="70">
        <v>2481</v>
      </c>
      <c r="E2482" s="66">
        <v>240</v>
      </c>
      <c r="F2482" s="85">
        <v>45960</v>
      </c>
      <c r="G2482" s="64" t="s">
        <v>680</v>
      </c>
      <c r="H2482"/>
      <c r="I2482"/>
    </row>
    <row r="2483" spans="1:9" x14ac:dyDescent="0.35">
      <c r="A2483" s="71">
        <f t="shared" si="77"/>
        <v>155245.09999999998</v>
      </c>
      <c r="B2483" s="72">
        <f t="shared" si="76"/>
        <v>2135</v>
      </c>
      <c r="C2483" s="70">
        <v>2482</v>
      </c>
      <c r="D2483" s="65">
        <v>2135</v>
      </c>
      <c r="F2483" s="85">
        <v>45962</v>
      </c>
      <c r="G2483" s="64" t="s">
        <v>1460</v>
      </c>
      <c r="H2483"/>
      <c r="I2483"/>
    </row>
    <row r="2484" spans="1:9" x14ac:dyDescent="0.35">
      <c r="A2484" s="71">
        <f t="shared" si="77"/>
        <v>156865.09999999998</v>
      </c>
      <c r="B2484" s="72">
        <f t="shared" si="76"/>
        <v>1620</v>
      </c>
      <c r="C2484" s="70">
        <v>2483</v>
      </c>
      <c r="D2484" s="65">
        <v>1620</v>
      </c>
      <c r="F2484" s="85">
        <v>45962</v>
      </c>
      <c r="G2484" s="64" t="s">
        <v>1461</v>
      </c>
      <c r="H2484"/>
      <c r="I2484"/>
    </row>
    <row r="2485" spans="1:9" x14ac:dyDescent="0.35">
      <c r="A2485" s="71">
        <f t="shared" si="77"/>
        <v>159300.09999999998</v>
      </c>
      <c r="B2485" s="72">
        <f t="shared" si="76"/>
        <v>2435</v>
      </c>
      <c r="C2485" s="70">
        <v>2484</v>
      </c>
      <c r="D2485" s="65">
        <v>2435</v>
      </c>
      <c r="F2485" s="85">
        <v>45962</v>
      </c>
      <c r="G2485" s="64" t="s">
        <v>1462</v>
      </c>
      <c r="H2485"/>
      <c r="I2485"/>
    </row>
    <row r="2486" spans="1:9" x14ac:dyDescent="0.35">
      <c r="A2486" s="71">
        <f t="shared" si="77"/>
        <v>130300.09999999998</v>
      </c>
      <c r="B2486" s="72">
        <f t="shared" si="76"/>
        <v>-29000</v>
      </c>
      <c r="C2486" s="70">
        <v>2485</v>
      </c>
      <c r="E2486" s="66">
        <v>29000</v>
      </c>
      <c r="F2486" s="85">
        <v>45962</v>
      </c>
      <c r="G2486" s="64" t="s">
        <v>1390</v>
      </c>
      <c r="H2486"/>
      <c r="I2486"/>
    </row>
    <row r="2487" spans="1:9" x14ac:dyDescent="0.35">
      <c r="A2487" s="71">
        <f t="shared" si="77"/>
        <v>76636.099999999977</v>
      </c>
      <c r="B2487" s="72">
        <f t="shared" si="76"/>
        <v>-53664</v>
      </c>
      <c r="C2487" s="70">
        <v>2486</v>
      </c>
      <c r="E2487" s="66">
        <v>53664</v>
      </c>
      <c r="F2487" s="85">
        <v>45962</v>
      </c>
      <c r="G2487" s="64" t="s">
        <v>298</v>
      </c>
      <c r="H2487"/>
      <c r="I2487"/>
    </row>
    <row r="2488" spans="1:9" x14ac:dyDescent="0.35">
      <c r="A2488" s="71">
        <f t="shared" si="77"/>
        <v>75386.099999999977</v>
      </c>
      <c r="B2488" s="72">
        <f t="shared" si="76"/>
        <v>-1250</v>
      </c>
      <c r="C2488" s="70">
        <v>2487</v>
      </c>
      <c r="E2488" s="66">
        <v>1250</v>
      </c>
      <c r="F2488" s="85">
        <v>45962</v>
      </c>
      <c r="G2488" s="64" t="s">
        <v>87</v>
      </c>
      <c r="H2488"/>
      <c r="I2488"/>
    </row>
    <row r="2489" spans="1:9" x14ac:dyDescent="0.35">
      <c r="A2489" s="71">
        <f t="shared" si="77"/>
        <v>75186.099999999977</v>
      </c>
      <c r="B2489" s="72">
        <f t="shared" si="76"/>
        <v>-200</v>
      </c>
      <c r="C2489" s="70">
        <v>2488</v>
      </c>
      <c r="E2489" s="66">
        <v>200</v>
      </c>
      <c r="F2489" s="85">
        <v>45962</v>
      </c>
      <c r="G2489" s="64" t="s">
        <v>1162</v>
      </c>
      <c r="H2489"/>
      <c r="I2489"/>
    </row>
    <row r="2490" spans="1:9" x14ac:dyDescent="0.35">
      <c r="A2490" s="71">
        <f t="shared" si="77"/>
        <v>73686.099999999977</v>
      </c>
      <c r="B2490" s="72">
        <f t="shared" si="76"/>
        <v>-1500</v>
      </c>
      <c r="C2490" s="70">
        <v>2489</v>
      </c>
      <c r="E2490" s="66">
        <v>1500</v>
      </c>
      <c r="F2490" s="85">
        <v>45962</v>
      </c>
      <c r="G2490" s="64" t="s">
        <v>1393</v>
      </c>
      <c r="H2490"/>
      <c r="I2490"/>
    </row>
    <row r="2491" spans="1:9" x14ac:dyDescent="0.35">
      <c r="A2491" s="71">
        <f t="shared" si="77"/>
        <v>71886.099999999977</v>
      </c>
      <c r="B2491" s="72">
        <f t="shared" si="76"/>
        <v>-1800</v>
      </c>
      <c r="C2491" s="70">
        <v>2490</v>
      </c>
      <c r="E2491" s="66">
        <v>1800</v>
      </c>
      <c r="F2491" s="85">
        <v>45962</v>
      </c>
      <c r="G2491" s="64" t="s">
        <v>1249</v>
      </c>
      <c r="H2491"/>
      <c r="I2491"/>
    </row>
    <row r="2492" spans="1:9" x14ac:dyDescent="0.35">
      <c r="A2492" s="71">
        <f t="shared" si="77"/>
        <v>71386.099999999977</v>
      </c>
      <c r="B2492" s="72">
        <f t="shared" si="76"/>
        <v>-500</v>
      </c>
      <c r="C2492" s="70">
        <v>2491</v>
      </c>
      <c r="E2492" s="66">
        <v>500</v>
      </c>
      <c r="F2492" s="85">
        <v>45962</v>
      </c>
      <c r="G2492" s="64" t="s">
        <v>1234</v>
      </c>
      <c r="H2492"/>
      <c r="I2492"/>
    </row>
    <row r="2493" spans="1:9" x14ac:dyDescent="0.35">
      <c r="A2493" s="71">
        <f t="shared" si="77"/>
        <v>77321.099999999977</v>
      </c>
      <c r="B2493" s="72">
        <f t="shared" si="76"/>
        <v>5935</v>
      </c>
      <c r="C2493" s="70">
        <v>2492</v>
      </c>
      <c r="D2493" s="65">
        <v>6025</v>
      </c>
      <c r="E2493" s="66">
        <v>90</v>
      </c>
      <c r="F2493" s="85">
        <v>45962</v>
      </c>
      <c r="G2493" s="64" t="s">
        <v>437</v>
      </c>
      <c r="H2493"/>
      <c r="I2493"/>
    </row>
    <row r="2494" spans="1:9" x14ac:dyDescent="0.35">
      <c r="A2494" s="71">
        <f t="shared" si="77"/>
        <v>77294.099999999977</v>
      </c>
      <c r="B2494" s="72">
        <f t="shared" si="76"/>
        <v>-27</v>
      </c>
      <c r="C2494" s="70">
        <v>2493</v>
      </c>
      <c r="E2494" s="66">
        <v>27</v>
      </c>
      <c r="F2494" s="85">
        <v>45962</v>
      </c>
      <c r="G2494" s="64" t="s">
        <v>1251</v>
      </c>
      <c r="H2494"/>
      <c r="I2494"/>
    </row>
    <row r="2495" spans="1:9" x14ac:dyDescent="0.35">
      <c r="A2495" s="71">
        <f t="shared" si="77"/>
        <v>77174.099999999977</v>
      </c>
      <c r="B2495" s="72">
        <f t="shared" si="76"/>
        <v>-120</v>
      </c>
      <c r="C2495" s="70">
        <v>2494</v>
      </c>
      <c r="E2495" s="66">
        <v>120</v>
      </c>
      <c r="F2495" s="85">
        <v>45962</v>
      </c>
      <c r="G2495" s="64" t="s">
        <v>2</v>
      </c>
      <c r="H2495"/>
      <c r="I2495"/>
    </row>
    <row r="2496" spans="1:9" x14ac:dyDescent="0.35">
      <c r="A2496" s="71">
        <f t="shared" si="77"/>
        <v>77024.099999999977</v>
      </c>
      <c r="B2496" s="72">
        <f t="shared" si="76"/>
        <v>-150</v>
      </c>
      <c r="C2496" s="70">
        <v>2495</v>
      </c>
      <c r="E2496" s="66">
        <v>150</v>
      </c>
      <c r="F2496" s="85">
        <v>45963</v>
      </c>
      <c r="G2496" s="64" t="s">
        <v>1395</v>
      </c>
      <c r="H2496"/>
      <c r="I2496"/>
    </row>
    <row r="2497" spans="1:9" x14ac:dyDescent="0.35">
      <c r="A2497" s="71">
        <f t="shared" si="77"/>
        <v>76124.099999999977</v>
      </c>
      <c r="B2497" s="72">
        <f t="shared" si="76"/>
        <v>-900</v>
      </c>
      <c r="C2497" s="70">
        <v>2496</v>
      </c>
      <c r="E2497" s="66">
        <v>900</v>
      </c>
      <c r="F2497" s="85">
        <v>45963</v>
      </c>
      <c r="G2497" s="64" t="s">
        <v>1396</v>
      </c>
      <c r="H2497"/>
      <c r="I2497"/>
    </row>
    <row r="2498" spans="1:9" x14ac:dyDescent="0.35">
      <c r="A2498" s="71">
        <f t="shared" si="77"/>
        <v>49524.099999999977</v>
      </c>
      <c r="B2498" s="72">
        <f t="shared" si="76"/>
        <v>-26600</v>
      </c>
      <c r="C2498" s="70">
        <v>2497</v>
      </c>
      <c r="E2498" s="66">
        <v>26600</v>
      </c>
      <c r="F2498" s="85">
        <v>45963</v>
      </c>
      <c r="G2498" s="64" t="s">
        <v>15</v>
      </c>
      <c r="H2498"/>
      <c r="I2498"/>
    </row>
    <row r="2499" spans="1:9" x14ac:dyDescent="0.35">
      <c r="A2499" s="71">
        <f t="shared" si="77"/>
        <v>65639.099999999977</v>
      </c>
      <c r="B2499" s="72">
        <f t="shared" ref="B2499:B2562" si="78">SUM(D2499-E2499)</f>
        <v>16115</v>
      </c>
      <c r="C2499" s="70">
        <v>2498</v>
      </c>
      <c r="D2499" s="65">
        <v>16115</v>
      </c>
      <c r="F2499" s="85">
        <v>45963</v>
      </c>
      <c r="G2499" s="64" t="s">
        <v>1397</v>
      </c>
      <c r="H2499"/>
      <c r="I2499"/>
    </row>
    <row r="2500" spans="1:9" x14ac:dyDescent="0.35">
      <c r="A2500" s="71">
        <f t="shared" ref="A2500:A2563" si="79">SUM(A2499+B2500)</f>
        <v>62139.099999999977</v>
      </c>
      <c r="B2500" s="72">
        <f t="shared" si="78"/>
        <v>-3500</v>
      </c>
      <c r="C2500" s="70">
        <v>2499</v>
      </c>
      <c r="E2500" s="66">
        <v>3500</v>
      </c>
      <c r="F2500" s="85">
        <v>45963</v>
      </c>
      <c r="G2500" s="64" t="s">
        <v>1398</v>
      </c>
      <c r="H2500"/>
      <c r="I2500"/>
    </row>
    <row r="2501" spans="1:9" x14ac:dyDescent="0.35">
      <c r="A2501" s="71">
        <f t="shared" si="79"/>
        <v>69204.099999999977</v>
      </c>
      <c r="B2501" s="72">
        <f t="shared" si="78"/>
        <v>7065</v>
      </c>
      <c r="C2501" s="70">
        <v>2500</v>
      </c>
      <c r="D2501" s="65">
        <v>9115</v>
      </c>
      <c r="E2501" s="66">
        <v>2050</v>
      </c>
      <c r="F2501" s="85">
        <v>45964</v>
      </c>
      <c r="G2501" s="64" t="s">
        <v>1402</v>
      </c>
      <c r="H2501"/>
      <c r="I2501"/>
    </row>
    <row r="2502" spans="1:9" x14ac:dyDescent="0.35">
      <c r="A2502" s="71">
        <f t="shared" si="79"/>
        <v>69049.099999999977</v>
      </c>
      <c r="B2502" s="72">
        <f t="shared" si="78"/>
        <v>-155</v>
      </c>
      <c r="C2502" s="70">
        <v>2501</v>
      </c>
      <c r="E2502" s="66">
        <v>155</v>
      </c>
      <c r="F2502" s="85">
        <v>45964</v>
      </c>
      <c r="G2502" s="64" t="s">
        <v>961</v>
      </c>
      <c r="H2502"/>
      <c r="I2502"/>
    </row>
    <row r="2503" spans="1:9" x14ac:dyDescent="0.35">
      <c r="A2503" s="71">
        <f t="shared" si="79"/>
        <v>68959.099999999977</v>
      </c>
      <c r="B2503" s="72">
        <f t="shared" si="78"/>
        <v>-90</v>
      </c>
      <c r="C2503" s="70">
        <v>2502</v>
      </c>
      <c r="E2503" s="66">
        <v>90</v>
      </c>
      <c r="F2503" s="85">
        <v>45964</v>
      </c>
      <c r="G2503" s="64" t="s">
        <v>437</v>
      </c>
      <c r="H2503"/>
      <c r="I2503"/>
    </row>
    <row r="2504" spans="1:9" x14ac:dyDescent="0.35">
      <c r="A2504" s="71">
        <f t="shared" si="79"/>
        <v>68629.099999999977</v>
      </c>
      <c r="B2504" s="72">
        <f t="shared" si="78"/>
        <v>-330</v>
      </c>
      <c r="C2504" s="70">
        <v>2503</v>
      </c>
      <c r="E2504" s="66">
        <v>330</v>
      </c>
      <c r="F2504" s="85">
        <v>45965</v>
      </c>
      <c r="G2504" s="64" t="s">
        <v>1403</v>
      </c>
      <c r="H2504"/>
      <c r="I2504"/>
    </row>
    <row r="2505" spans="1:9" x14ac:dyDescent="0.35">
      <c r="A2505" s="71">
        <f t="shared" si="79"/>
        <v>68629.099999999977</v>
      </c>
      <c r="B2505" s="72">
        <f t="shared" si="78"/>
        <v>0</v>
      </c>
      <c r="C2505" s="70">
        <v>2504</v>
      </c>
      <c r="D2505" s="65">
        <v>2500</v>
      </c>
      <c r="E2505" s="66">
        <v>2500</v>
      </c>
      <c r="F2505" s="85">
        <v>45965</v>
      </c>
      <c r="G2505" s="64" t="s">
        <v>1415</v>
      </c>
      <c r="H2505"/>
      <c r="I2505"/>
    </row>
    <row r="2506" spans="1:9" x14ac:dyDescent="0.35">
      <c r="A2506" s="71">
        <f t="shared" si="79"/>
        <v>68079.099999999977</v>
      </c>
      <c r="B2506" s="72">
        <f t="shared" si="78"/>
        <v>-550</v>
      </c>
      <c r="C2506" s="70">
        <v>2505</v>
      </c>
      <c r="D2506" s="65">
        <v>450</v>
      </c>
      <c r="E2506" s="66">
        <v>1000</v>
      </c>
      <c r="F2506" s="85">
        <v>45965</v>
      </c>
      <c r="G2506" s="64" t="s">
        <v>1410</v>
      </c>
      <c r="H2506"/>
      <c r="I2506"/>
    </row>
    <row r="2507" spans="1:9" x14ac:dyDescent="0.35">
      <c r="A2507" s="71">
        <f t="shared" si="79"/>
        <v>95639.099999999977</v>
      </c>
      <c r="B2507" s="72">
        <f t="shared" si="78"/>
        <v>27560</v>
      </c>
      <c r="C2507" s="70">
        <v>2506</v>
      </c>
      <c r="D2507" s="65">
        <v>27560</v>
      </c>
      <c r="F2507" s="85">
        <v>45965</v>
      </c>
      <c r="H2507"/>
      <c r="I2507"/>
    </row>
    <row r="2508" spans="1:9" x14ac:dyDescent="0.35">
      <c r="A2508" s="71">
        <f t="shared" si="79"/>
        <v>95559.099999999977</v>
      </c>
      <c r="B2508" s="72">
        <f t="shared" si="78"/>
        <v>-80</v>
      </c>
      <c r="C2508" s="70">
        <v>2507</v>
      </c>
      <c r="E2508" s="66">
        <v>80</v>
      </c>
      <c r="F2508" s="85">
        <v>45965</v>
      </c>
      <c r="G2508" s="64" t="s">
        <v>1404</v>
      </c>
      <c r="H2508"/>
      <c r="I2508"/>
    </row>
    <row r="2509" spans="1:9" x14ac:dyDescent="0.35">
      <c r="A2509" s="71">
        <f t="shared" si="79"/>
        <v>58559.099999999977</v>
      </c>
      <c r="B2509" s="72">
        <f t="shared" si="78"/>
        <v>-37000</v>
      </c>
      <c r="C2509" s="70">
        <v>2508</v>
      </c>
      <c r="E2509" s="66">
        <v>37000</v>
      </c>
      <c r="F2509" s="85">
        <v>45965</v>
      </c>
      <c r="G2509" s="64" t="s">
        <v>1409</v>
      </c>
      <c r="H2509"/>
      <c r="I2509"/>
    </row>
    <row r="2510" spans="1:9" x14ac:dyDescent="0.35">
      <c r="A2510" s="71">
        <f t="shared" si="79"/>
        <v>57759.099999999977</v>
      </c>
      <c r="B2510" s="72">
        <f t="shared" si="78"/>
        <v>-800</v>
      </c>
      <c r="C2510" s="70">
        <v>2509</v>
      </c>
      <c r="E2510" s="66">
        <v>800</v>
      </c>
      <c r="F2510" s="85">
        <v>45965</v>
      </c>
      <c r="G2510" s="64" t="s">
        <v>1405</v>
      </c>
      <c r="H2510"/>
      <c r="I2510"/>
    </row>
    <row r="2511" spans="1:9" x14ac:dyDescent="0.35">
      <c r="A2511" s="71">
        <f t="shared" si="79"/>
        <v>36559.099999999977</v>
      </c>
      <c r="B2511" s="72">
        <f t="shared" si="78"/>
        <v>-21200</v>
      </c>
      <c r="C2511" s="70">
        <v>2510</v>
      </c>
      <c r="E2511" s="66">
        <v>21200</v>
      </c>
      <c r="F2511" s="85">
        <v>45966</v>
      </c>
      <c r="G2511" s="64" t="s">
        <v>17</v>
      </c>
      <c r="H2511"/>
      <c r="I2511"/>
    </row>
    <row r="2512" spans="1:9" x14ac:dyDescent="0.35">
      <c r="A2512" s="71">
        <f t="shared" si="79"/>
        <v>35599.099999999977</v>
      </c>
      <c r="B2512" s="72">
        <f t="shared" si="78"/>
        <v>-960</v>
      </c>
      <c r="C2512" s="70">
        <v>2511</v>
      </c>
      <c r="E2512" s="66">
        <v>960</v>
      </c>
      <c r="F2512" s="85">
        <v>45966</v>
      </c>
      <c r="G2512" s="64" t="s">
        <v>1406</v>
      </c>
      <c r="H2512"/>
      <c r="I2512"/>
    </row>
    <row r="2513" spans="1:9" x14ac:dyDescent="0.35">
      <c r="A2513" s="71">
        <f t="shared" si="79"/>
        <v>45539.099999999977</v>
      </c>
      <c r="B2513" s="72">
        <f t="shared" si="78"/>
        <v>9940</v>
      </c>
      <c r="C2513" s="70">
        <v>2512</v>
      </c>
      <c r="D2513" s="65">
        <v>9940</v>
      </c>
      <c r="F2513" s="85">
        <v>45966</v>
      </c>
      <c r="G2513" s="64" t="s">
        <v>12</v>
      </c>
      <c r="H2513"/>
      <c r="I2513"/>
    </row>
    <row r="2514" spans="1:9" x14ac:dyDescent="0.35">
      <c r="A2514" s="71">
        <f t="shared" si="79"/>
        <v>45539.099999999977</v>
      </c>
      <c r="B2514" s="72">
        <f t="shared" si="78"/>
        <v>0</v>
      </c>
      <c r="C2514" s="70">
        <v>2513</v>
      </c>
      <c r="D2514" s="65">
        <v>1500</v>
      </c>
      <c r="E2514" s="66">
        <v>1500</v>
      </c>
      <c r="F2514" s="85">
        <v>45966</v>
      </c>
      <c r="G2514" s="64" t="s">
        <v>1482</v>
      </c>
      <c r="H2514"/>
      <c r="I2514"/>
    </row>
    <row r="2515" spans="1:9" x14ac:dyDescent="0.35">
      <c r="A2515" s="71">
        <f t="shared" si="79"/>
        <v>46259.099999999977</v>
      </c>
      <c r="B2515" s="72">
        <f t="shared" si="78"/>
        <v>720</v>
      </c>
      <c r="C2515" s="70">
        <v>2514</v>
      </c>
      <c r="D2515" s="65">
        <v>810</v>
      </c>
      <c r="E2515" s="66">
        <v>90</v>
      </c>
      <c r="F2515" s="85">
        <v>45967</v>
      </c>
      <c r="G2515" s="64" t="s">
        <v>437</v>
      </c>
      <c r="H2515"/>
      <c r="I2515"/>
    </row>
    <row r="2516" spans="1:9" x14ac:dyDescent="0.35">
      <c r="A2516" s="71">
        <f t="shared" si="79"/>
        <v>44259.099999999977</v>
      </c>
      <c r="B2516" s="72">
        <f t="shared" si="78"/>
        <v>-2000</v>
      </c>
      <c r="C2516" s="70">
        <v>2515</v>
      </c>
      <c r="E2516" s="66">
        <v>2000</v>
      </c>
      <c r="F2516" s="85">
        <v>45966</v>
      </c>
      <c r="G2516" s="64" t="s">
        <v>1417</v>
      </c>
      <c r="H2516"/>
      <c r="I2516"/>
    </row>
    <row r="2517" spans="1:9" x14ac:dyDescent="0.35">
      <c r="A2517" s="71">
        <f t="shared" si="79"/>
        <v>44259.099999999977</v>
      </c>
      <c r="B2517" s="72">
        <f t="shared" si="78"/>
        <v>0</v>
      </c>
      <c r="C2517" s="70">
        <v>2516</v>
      </c>
      <c r="D2517" s="65">
        <v>2550</v>
      </c>
      <c r="E2517" s="66">
        <v>2550</v>
      </c>
      <c r="F2517" s="85">
        <v>45966</v>
      </c>
      <c r="G2517" s="64" t="s">
        <v>1413</v>
      </c>
      <c r="H2517"/>
      <c r="I2517"/>
    </row>
    <row r="2518" spans="1:9" x14ac:dyDescent="0.35">
      <c r="A2518" s="71">
        <f t="shared" si="79"/>
        <v>44259.099999999977</v>
      </c>
      <c r="B2518" s="72">
        <f t="shared" si="78"/>
        <v>0</v>
      </c>
      <c r="C2518" s="70">
        <v>2517</v>
      </c>
      <c r="D2518" s="65">
        <v>500</v>
      </c>
      <c r="E2518" s="66">
        <v>500</v>
      </c>
      <c r="F2518" s="85">
        <v>45967</v>
      </c>
      <c r="G2518" s="64" t="s">
        <v>1411</v>
      </c>
      <c r="H2518"/>
      <c r="I2518"/>
    </row>
    <row r="2519" spans="1:9" x14ac:dyDescent="0.35">
      <c r="A2519" s="71">
        <f t="shared" si="79"/>
        <v>44259.099999999977</v>
      </c>
      <c r="B2519" s="72">
        <f t="shared" si="78"/>
        <v>0</v>
      </c>
      <c r="C2519" s="70">
        <v>2518</v>
      </c>
      <c r="D2519" s="65">
        <v>3500</v>
      </c>
      <c r="E2519" s="66">
        <v>3500</v>
      </c>
      <c r="F2519" s="85">
        <v>45967</v>
      </c>
      <c r="G2519" s="64" t="s">
        <v>1412</v>
      </c>
      <c r="H2519"/>
      <c r="I2519"/>
    </row>
    <row r="2520" spans="1:9" x14ac:dyDescent="0.35">
      <c r="A2520" s="71">
        <f t="shared" si="79"/>
        <v>43359.099999999977</v>
      </c>
      <c r="B2520" s="72">
        <f t="shared" si="78"/>
        <v>-900</v>
      </c>
      <c r="C2520" s="70">
        <v>2519</v>
      </c>
      <c r="E2520" s="66">
        <v>900</v>
      </c>
      <c r="F2520" s="85">
        <v>45967</v>
      </c>
      <c r="G2520" s="64" t="s">
        <v>1045</v>
      </c>
      <c r="H2520"/>
      <c r="I2520"/>
    </row>
    <row r="2521" spans="1:9" x14ac:dyDescent="0.35">
      <c r="A2521" s="71">
        <f t="shared" si="79"/>
        <v>34859.099999999977</v>
      </c>
      <c r="B2521" s="72">
        <f t="shared" si="78"/>
        <v>-8500</v>
      </c>
      <c r="C2521" s="70">
        <v>2520</v>
      </c>
      <c r="E2521" s="66">
        <v>8500</v>
      </c>
      <c r="F2521" s="85">
        <v>45968</v>
      </c>
      <c r="G2521" s="64" t="s">
        <v>1407</v>
      </c>
      <c r="H2521"/>
      <c r="I2521"/>
    </row>
    <row r="2522" spans="1:9" x14ac:dyDescent="0.35">
      <c r="A2522" s="71">
        <f t="shared" si="79"/>
        <v>34859.099999999977</v>
      </c>
      <c r="B2522" s="72">
        <f t="shared" si="78"/>
        <v>0</v>
      </c>
      <c r="C2522" s="70">
        <v>2521</v>
      </c>
      <c r="D2522" s="65">
        <v>600</v>
      </c>
      <c r="E2522" s="66">
        <v>600</v>
      </c>
      <c r="F2522" s="85">
        <v>45968</v>
      </c>
      <c r="G2522" s="64" t="s">
        <v>1416</v>
      </c>
      <c r="H2522"/>
      <c r="I2522"/>
    </row>
    <row r="2523" spans="1:9" x14ac:dyDescent="0.35">
      <c r="A2523" s="71">
        <f t="shared" si="79"/>
        <v>38874.099999999977</v>
      </c>
      <c r="B2523" s="72">
        <f t="shared" si="78"/>
        <v>4015</v>
      </c>
      <c r="C2523" s="70">
        <v>2522</v>
      </c>
      <c r="D2523" s="65">
        <v>4195</v>
      </c>
      <c r="E2523" s="66">
        <v>180</v>
      </c>
      <c r="F2523" s="85">
        <v>45969</v>
      </c>
      <c r="G2523" s="64" t="s">
        <v>400</v>
      </c>
      <c r="H2523"/>
      <c r="I2523"/>
    </row>
    <row r="2524" spans="1:9" x14ac:dyDescent="0.35">
      <c r="A2524" s="71">
        <f t="shared" si="79"/>
        <v>38694.099999999977</v>
      </c>
      <c r="B2524" s="72">
        <f t="shared" si="78"/>
        <v>-180</v>
      </c>
      <c r="C2524" s="70">
        <v>2523</v>
      </c>
      <c r="E2524" s="66">
        <v>180</v>
      </c>
      <c r="F2524" s="85">
        <v>45969</v>
      </c>
      <c r="G2524" s="64" t="s">
        <v>437</v>
      </c>
      <c r="H2524"/>
      <c r="I2524"/>
    </row>
    <row r="2525" spans="1:9" x14ac:dyDescent="0.35">
      <c r="A2525" s="71">
        <f t="shared" si="79"/>
        <v>38639.099999999977</v>
      </c>
      <c r="B2525" s="72">
        <f t="shared" si="78"/>
        <v>-55</v>
      </c>
      <c r="C2525" s="70">
        <v>2524</v>
      </c>
      <c r="E2525" s="66">
        <v>55</v>
      </c>
      <c r="F2525" s="85">
        <v>45969</v>
      </c>
      <c r="G2525" s="64" t="s">
        <v>1408</v>
      </c>
      <c r="H2525"/>
      <c r="I2525"/>
    </row>
    <row r="2526" spans="1:9" x14ac:dyDescent="0.35">
      <c r="A2526" s="71">
        <f t="shared" si="79"/>
        <v>53619.099999999977</v>
      </c>
      <c r="B2526" s="72">
        <f t="shared" si="78"/>
        <v>14980</v>
      </c>
      <c r="C2526" s="70">
        <v>2525</v>
      </c>
      <c r="D2526" s="65">
        <v>14980</v>
      </c>
      <c r="F2526" s="85">
        <v>45970</v>
      </c>
      <c r="G2526" s="64" t="s">
        <v>12</v>
      </c>
      <c r="H2526"/>
      <c r="I2526"/>
    </row>
    <row r="2527" spans="1:9" x14ac:dyDescent="0.35">
      <c r="A2527" s="71">
        <f t="shared" si="79"/>
        <v>38419.099999999977</v>
      </c>
      <c r="B2527" s="72">
        <f t="shared" si="78"/>
        <v>-15200</v>
      </c>
      <c r="C2527" s="70">
        <v>2526</v>
      </c>
      <c r="E2527" s="66">
        <v>15200</v>
      </c>
      <c r="F2527" s="85">
        <v>45971</v>
      </c>
      <c r="G2527" s="64" t="s">
        <v>231</v>
      </c>
      <c r="H2527"/>
      <c r="I2527"/>
    </row>
    <row r="2528" spans="1:9" x14ac:dyDescent="0.35">
      <c r="A2528" s="71">
        <f t="shared" si="79"/>
        <v>8012.0999999999767</v>
      </c>
      <c r="B2528" s="72">
        <f t="shared" si="78"/>
        <v>-30407</v>
      </c>
      <c r="C2528" s="70">
        <v>2527</v>
      </c>
      <c r="E2528" s="66">
        <v>30407</v>
      </c>
      <c r="F2528" s="85">
        <v>45971</v>
      </c>
      <c r="G2528" s="64" t="s">
        <v>1414</v>
      </c>
      <c r="H2528"/>
      <c r="I2528"/>
    </row>
    <row r="2529" spans="1:9" x14ac:dyDescent="0.35">
      <c r="A2529" s="71">
        <f t="shared" si="79"/>
        <v>23102.099999999977</v>
      </c>
      <c r="B2529" s="72">
        <f t="shared" si="78"/>
        <v>15090</v>
      </c>
      <c r="C2529" s="70">
        <v>2528</v>
      </c>
      <c r="D2529" s="65">
        <v>15250</v>
      </c>
      <c r="E2529" s="66">
        <v>160</v>
      </c>
      <c r="F2529" s="85">
        <v>45971</v>
      </c>
      <c r="G2529" s="64" t="s">
        <v>961</v>
      </c>
      <c r="H2529"/>
      <c r="I2529"/>
    </row>
    <row r="2530" spans="1:9" x14ac:dyDescent="0.35">
      <c r="A2530" s="71">
        <f t="shared" si="79"/>
        <v>23062.099999999977</v>
      </c>
      <c r="B2530" s="72">
        <f t="shared" si="78"/>
        <v>-40</v>
      </c>
      <c r="C2530" s="70">
        <v>2529</v>
      </c>
      <c r="E2530" s="66">
        <v>40</v>
      </c>
      <c r="F2530" s="85">
        <v>45941</v>
      </c>
      <c r="G2530" s="64" t="s">
        <v>41</v>
      </c>
      <c r="H2530"/>
      <c r="I2530"/>
    </row>
    <row r="2531" spans="1:9" x14ac:dyDescent="0.35">
      <c r="A2531" s="71">
        <f t="shared" si="79"/>
        <v>23037.099999999977</v>
      </c>
      <c r="B2531" s="72">
        <f t="shared" si="78"/>
        <v>-25</v>
      </c>
      <c r="C2531" s="70">
        <v>2530</v>
      </c>
      <c r="E2531" s="66">
        <v>25</v>
      </c>
      <c r="F2531" s="85">
        <v>45941</v>
      </c>
      <c r="G2531" s="64" t="s">
        <v>99</v>
      </c>
      <c r="H2531"/>
      <c r="I2531"/>
    </row>
    <row r="2532" spans="1:9" x14ac:dyDescent="0.35">
      <c r="A2532" s="71">
        <f t="shared" si="79"/>
        <v>22237.099999999977</v>
      </c>
      <c r="B2532" s="72">
        <f t="shared" si="78"/>
        <v>-800</v>
      </c>
      <c r="C2532" s="70">
        <v>2531</v>
      </c>
      <c r="E2532" s="66">
        <v>800</v>
      </c>
      <c r="F2532" s="85">
        <v>45941</v>
      </c>
      <c r="G2532" s="64" t="s">
        <v>1162</v>
      </c>
      <c r="H2532"/>
      <c r="I2532"/>
    </row>
    <row r="2533" spans="1:9" x14ac:dyDescent="0.35">
      <c r="A2533" s="71">
        <f t="shared" si="79"/>
        <v>49047.099999999977</v>
      </c>
      <c r="B2533" s="72">
        <f t="shared" si="78"/>
        <v>26810</v>
      </c>
      <c r="C2533" s="70">
        <v>2532</v>
      </c>
      <c r="D2533" s="65">
        <v>27050</v>
      </c>
      <c r="E2533" s="66">
        <v>240</v>
      </c>
      <c r="F2533" s="85">
        <v>45941</v>
      </c>
      <c r="G2533" s="64" t="s">
        <v>680</v>
      </c>
      <c r="H2533"/>
      <c r="I2533"/>
    </row>
    <row r="2534" spans="1:9" x14ac:dyDescent="0.35">
      <c r="A2534" s="71">
        <f t="shared" si="79"/>
        <v>41047.099999999977</v>
      </c>
      <c r="B2534" s="72">
        <f t="shared" si="78"/>
        <v>-8000</v>
      </c>
      <c r="C2534" s="70">
        <v>2533</v>
      </c>
      <c r="E2534" s="66">
        <v>8000</v>
      </c>
      <c r="F2534" s="85">
        <v>45941</v>
      </c>
      <c r="G2534" s="64" t="s">
        <v>1418</v>
      </c>
      <c r="H2534"/>
      <c r="I2534"/>
    </row>
    <row r="2535" spans="1:9" x14ac:dyDescent="0.35">
      <c r="A2535" s="71">
        <f t="shared" si="79"/>
        <v>40447.099999999977</v>
      </c>
      <c r="B2535" s="72">
        <f t="shared" si="78"/>
        <v>-600</v>
      </c>
      <c r="C2535" s="70">
        <v>2534</v>
      </c>
      <c r="E2535" s="66">
        <v>600</v>
      </c>
      <c r="F2535" s="85">
        <v>45941</v>
      </c>
      <c r="G2535" s="64" t="s">
        <v>1419</v>
      </c>
      <c r="H2535"/>
      <c r="I2535"/>
    </row>
    <row r="2536" spans="1:9" x14ac:dyDescent="0.35">
      <c r="A2536" s="71">
        <f t="shared" si="79"/>
        <v>40357.099999999977</v>
      </c>
      <c r="B2536" s="72">
        <f t="shared" si="78"/>
        <v>-90</v>
      </c>
      <c r="C2536" s="70">
        <v>2535</v>
      </c>
      <c r="E2536" s="66">
        <v>90</v>
      </c>
      <c r="F2536" s="85">
        <v>45972</v>
      </c>
      <c r="G2536" s="64" t="s">
        <v>437</v>
      </c>
      <c r="H2536"/>
      <c r="I2536"/>
    </row>
    <row r="2537" spans="1:9" x14ac:dyDescent="0.35">
      <c r="A2537" s="71">
        <f t="shared" si="79"/>
        <v>39477.099999999977</v>
      </c>
      <c r="B2537" s="72">
        <f t="shared" si="78"/>
        <v>-880</v>
      </c>
      <c r="C2537" s="70">
        <v>2536</v>
      </c>
      <c r="E2537" s="66">
        <v>880</v>
      </c>
      <c r="F2537" s="85">
        <v>45941</v>
      </c>
      <c r="G2537" s="64" t="s">
        <v>531</v>
      </c>
      <c r="H2537"/>
      <c r="I2537"/>
    </row>
    <row r="2538" spans="1:9" x14ac:dyDescent="0.35">
      <c r="A2538" s="71">
        <f t="shared" si="79"/>
        <v>39362.099999999977</v>
      </c>
      <c r="B2538" s="72">
        <f t="shared" si="78"/>
        <v>-115</v>
      </c>
      <c r="C2538" s="70">
        <v>2537</v>
      </c>
      <c r="E2538" s="66">
        <v>115</v>
      </c>
      <c r="F2538" s="85">
        <v>45942</v>
      </c>
      <c r="G2538" s="64" t="s">
        <v>1420</v>
      </c>
      <c r="H2538"/>
      <c r="I2538"/>
    </row>
    <row r="2539" spans="1:9" x14ac:dyDescent="0.35">
      <c r="A2539" s="71">
        <f t="shared" si="79"/>
        <v>39277.099999999977</v>
      </c>
      <c r="B2539" s="72">
        <f t="shared" si="78"/>
        <v>-85</v>
      </c>
      <c r="C2539" s="70">
        <v>2538</v>
      </c>
      <c r="E2539" s="66">
        <v>85</v>
      </c>
      <c r="F2539" s="85">
        <v>45942</v>
      </c>
      <c r="G2539" s="64" t="s">
        <v>486</v>
      </c>
      <c r="H2539"/>
      <c r="I2539"/>
    </row>
    <row r="2540" spans="1:9" x14ac:dyDescent="0.35">
      <c r="A2540" s="71">
        <f t="shared" si="79"/>
        <v>39147.099999999977</v>
      </c>
      <c r="B2540" s="72">
        <f t="shared" si="78"/>
        <v>-130</v>
      </c>
      <c r="C2540" s="70">
        <v>2539</v>
      </c>
      <c r="E2540" s="66">
        <v>130</v>
      </c>
      <c r="F2540" s="85">
        <v>45942</v>
      </c>
      <c r="G2540" s="64" t="s">
        <v>1043</v>
      </c>
      <c r="H2540"/>
      <c r="I2540"/>
    </row>
    <row r="2541" spans="1:9" x14ac:dyDescent="0.35">
      <c r="A2541" s="71">
        <f t="shared" si="79"/>
        <v>59727.099999999977</v>
      </c>
      <c r="B2541" s="72">
        <f t="shared" si="78"/>
        <v>20580</v>
      </c>
      <c r="C2541" s="70">
        <v>2540</v>
      </c>
      <c r="D2541" s="65">
        <v>20735</v>
      </c>
      <c r="E2541" s="66">
        <v>155</v>
      </c>
      <c r="F2541" s="85">
        <v>45973</v>
      </c>
      <c r="G2541" s="64" t="s">
        <v>961</v>
      </c>
      <c r="H2541"/>
      <c r="I2541"/>
    </row>
    <row r="2542" spans="1:9" x14ac:dyDescent="0.35">
      <c r="A2542" s="71">
        <f t="shared" si="79"/>
        <v>59662.099999999977</v>
      </c>
      <c r="B2542" s="72">
        <f t="shared" si="78"/>
        <v>-65</v>
      </c>
      <c r="C2542" s="70">
        <v>2541</v>
      </c>
      <c r="E2542" s="66">
        <v>65</v>
      </c>
      <c r="F2542" s="85">
        <v>45973</v>
      </c>
      <c r="G2542" s="64" t="s">
        <v>1421</v>
      </c>
      <c r="H2542"/>
      <c r="I2542"/>
    </row>
    <row r="2543" spans="1:9" x14ac:dyDescent="0.35">
      <c r="A2543" s="71">
        <f t="shared" si="79"/>
        <v>59582.099999999977</v>
      </c>
      <c r="B2543" s="72">
        <f t="shared" si="78"/>
        <v>-80</v>
      </c>
      <c r="C2543" s="70">
        <v>2542</v>
      </c>
      <c r="E2543" s="66">
        <v>80</v>
      </c>
      <c r="F2543" s="85">
        <v>45973</v>
      </c>
      <c r="G2543" s="64" t="s">
        <v>1422</v>
      </c>
      <c r="H2543"/>
      <c r="I2543"/>
    </row>
    <row r="2544" spans="1:9" x14ac:dyDescent="0.35">
      <c r="A2544" s="71">
        <f t="shared" si="79"/>
        <v>58582.099999999977</v>
      </c>
      <c r="B2544" s="72">
        <f t="shared" si="78"/>
        <v>-1000</v>
      </c>
      <c r="C2544" s="70">
        <v>2543</v>
      </c>
      <c r="E2544" s="66">
        <v>1000</v>
      </c>
      <c r="F2544" s="85">
        <v>45973</v>
      </c>
      <c r="G2544" s="64" t="s">
        <v>64</v>
      </c>
      <c r="H2544"/>
      <c r="I2544"/>
    </row>
    <row r="2545" spans="1:9" x14ac:dyDescent="0.35">
      <c r="A2545" s="71">
        <f t="shared" si="79"/>
        <v>57182.099999999977</v>
      </c>
      <c r="B2545" s="72">
        <f t="shared" si="78"/>
        <v>-1400</v>
      </c>
      <c r="C2545" s="70">
        <v>2544</v>
      </c>
      <c r="E2545" s="66">
        <v>1400</v>
      </c>
      <c r="F2545" s="85">
        <v>45973</v>
      </c>
      <c r="G2545" s="64" t="s">
        <v>1423</v>
      </c>
      <c r="H2545"/>
      <c r="I2545"/>
    </row>
    <row r="2546" spans="1:9" x14ac:dyDescent="0.35">
      <c r="A2546" s="71">
        <f t="shared" si="79"/>
        <v>56962.099999999977</v>
      </c>
      <c r="B2546" s="72">
        <f t="shared" si="78"/>
        <v>-220</v>
      </c>
      <c r="C2546" s="70">
        <v>2545</v>
      </c>
      <c r="E2546" s="66">
        <v>220</v>
      </c>
      <c r="F2546" s="85">
        <v>45973</v>
      </c>
      <c r="G2546" s="64" t="s">
        <v>1424</v>
      </c>
      <c r="H2546"/>
      <c r="I2546"/>
    </row>
    <row r="2547" spans="1:9" x14ac:dyDescent="0.35">
      <c r="A2547" s="71">
        <f t="shared" si="79"/>
        <v>59662.099999999977</v>
      </c>
      <c r="B2547" s="72">
        <f t="shared" si="78"/>
        <v>2700</v>
      </c>
      <c r="C2547" s="70">
        <v>2546</v>
      </c>
      <c r="D2547" s="65">
        <v>2735</v>
      </c>
      <c r="E2547" s="66">
        <v>35</v>
      </c>
      <c r="F2547" s="85">
        <v>45973</v>
      </c>
      <c r="G2547" s="64" t="s">
        <v>1425</v>
      </c>
      <c r="H2547"/>
      <c r="I2547"/>
    </row>
    <row r="2548" spans="1:9" x14ac:dyDescent="0.35">
      <c r="A2548" s="71">
        <f t="shared" si="79"/>
        <v>49662.099999999977</v>
      </c>
      <c r="B2548" s="72">
        <f t="shared" si="78"/>
        <v>-10000</v>
      </c>
      <c r="C2548" s="70">
        <v>2547</v>
      </c>
      <c r="E2548" s="66">
        <v>10000</v>
      </c>
      <c r="F2548" s="85">
        <v>45974</v>
      </c>
      <c r="G2548" s="64" t="s">
        <v>1426</v>
      </c>
      <c r="H2548"/>
      <c r="I2548"/>
    </row>
    <row r="2549" spans="1:9" x14ac:dyDescent="0.35">
      <c r="A2549" s="71">
        <f t="shared" si="79"/>
        <v>49662.099999999977</v>
      </c>
      <c r="B2549" s="72">
        <f t="shared" si="78"/>
        <v>0</v>
      </c>
      <c r="C2549" s="70">
        <v>2548</v>
      </c>
      <c r="D2549" s="65">
        <v>30000</v>
      </c>
      <c r="E2549" s="66">
        <v>30000</v>
      </c>
      <c r="F2549" s="85">
        <v>45976</v>
      </c>
      <c r="G2549" s="64" t="s">
        <v>1427</v>
      </c>
      <c r="H2549"/>
      <c r="I2549"/>
    </row>
    <row r="2550" spans="1:9" x14ac:dyDescent="0.35">
      <c r="A2550" s="71">
        <f t="shared" si="79"/>
        <v>49387.099999999977</v>
      </c>
      <c r="B2550" s="72">
        <f t="shared" si="78"/>
        <v>-275</v>
      </c>
      <c r="C2550" s="70">
        <v>2549</v>
      </c>
      <c r="E2550" s="66">
        <v>275</v>
      </c>
      <c r="F2550" s="85">
        <v>45976</v>
      </c>
      <c r="G2550" s="64" t="s">
        <v>1063</v>
      </c>
      <c r="H2550"/>
      <c r="I2550"/>
    </row>
    <row r="2551" spans="1:9" x14ac:dyDescent="0.35">
      <c r="A2551" s="71">
        <f t="shared" si="79"/>
        <v>49382.099999999977</v>
      </c>
      <c r="B2551" s="72">
        <f t="shared" si="78"/>
        <v>-5</v>
      </c>
      <c r="C2551" s="70">
        <v>2550</v>
      </c>
      <c r="E2551" s="66">
        <v>5</v>
      </c>
      <c r="F2551" s="85">
        <v>45976</v>
      </c>
      <c r="G2551" s="64" t="s">
        <v>1428</v>
      </c>
      <c r="H2551"/>
      <c r="I2551"/>
    </row>
    <row r="2552" spans="1:9" x14ac:dyDescent="0.35">
      <c r="A2552" s="71">
        <f t="shared" si="79"/>
        <v>51833.099999999977</v>
      </c>
      <c r="B2552" s="72">
        <f t="shared" si="78"/>
        <v>2451</v>
      </c>
      <c r="C2552" s="70">
        <v>2551</v>
      </c>
      <c r="D2552" s="65">
        <v>2530</v>
      </c>
      <c r="E2552" s="66">
        <v>79</v>
      </c>
      <c r="F2552" s="85">
        <v>45976</v>
      </c>
      <c r="G2552" s="64" t="s">
        <v>99</v>
      </c>
      <c r="H2552"/>
      <c r="I2552"/>
    </row>
    <row r="2553" spans="1:9" x14ac:dyDescent="0.35">
      <c r="A2553" s="71">
        <f t="shared" si="79"/>
        <v>51733.099999999977</v>
      </c>
      <c r="B2553" s="72">
        <f t="shared" si="78"/>
        <v>-100</v>
      </c>
      <c r="C2553" s="70">
        <v>2552</v>
      </c>
      <c r="E2553" s="66">
        <v>100</v>
      </c>
      <c r="F2553" s="85">
        <v>45976</v>
      </c>
      <c r="G2553" s="64" t="s">
        <v>1429</v>
      </c>
      <c r="H2553"/>
      <c r="I2553"/>
    </row>
    <row r="2554" spans="1:9" x14ac:dyDescent="0.35">
      <c r="A2554" s="71">
        <f t="shared" si="79"/>
        <v>51733.099999999977</v>
      </c>
      <c r="B2554" s="72">
        <f t="shared" si="78"/>
        <v>0</v>
      </c>
      <c r="C2554" s="70">
        <v>2553</v>
      </c>
      <c r="D2554" s="65">
        <v>100</v>
      </c>
      <c r="E2554" s="66">
        <v>100</v>
      </c>
      <c r="F2554" s="85">
        <v>45976</v>
      </c>
      <c r="G2554" s="64" t="s">
        <v>332</v>
      </c>
      <c r="H2554"/>
      <c r="I2554"/>
    </row>
    <row r="2555" spans="1:9" x14ac:dyDescent="0.35">
      <c r="A2555" s="71">
        <f t="shared" si="79"/>
        <v>51633.099999999977</v>
      </c>
      <c r="B2555" s="72">
        <f t="shared" si="78"/>
        <v>-100</v>
      </c>
      <c r="C2555" s="70">
        <v>2554</v>
      </c>
      <c r="E2555" s="66">
        <v>100</v>
      </c>
      <c r="F2555" s="85">
        <v>45977</v>
      </c>
      <c r="G2555" s="64" t="s">
        <v>805</v>
      </c>
      <c r="H2555"/>
      <c r="I2555"/>
    </row>
    <row r="2556" spans="1:9" x14ac:dyDescent="0.35">
      <c r="A2556" s="71">
        <f t="shared" si="79"/>
        <v>72918.099999999977</v>
      </c>
      <c r="B2556" s="72">
        <f t="shared" si="78"/>
        <v>21285</v>
      </c>
      <c r="C2556" s="70">
        <v>2555</v>
      </c>
      <c r="D2556" s="65">
        <v>21285</v>
      </c>
      <c r="E2556" s="66">
        <v>0</v>
      </c>
      <c r="F2556" s="85">
        <v>45977</v>
      </c>
      <c r="G2556" s="64" t="s">
        <v>1477</v>
      </c>
      <c r="H2556"/>
      <c r="I2556"/>
    </row>
    <row r="2557" spans="1:9" x14ac:dyDescent="0.35">
      <c r="A2557" s="71">
        <f t="shared" si="79"/>
        <v>72903.099999999977</v>
      </c>
      <c r="B2557" s="72">
        <f t="shared" si="78"/>
        <v>-15</v>
      </c>
      <c r="C2557" s="70">
        <v>2556</v>
      </c>
      <c r="E2557" s="66">
        <v>15</v>
      </c>
      <c r="F2557" s="85">
        <v>45977</v>
      </c>
      <c r="G2557" s="64" t="s">
        <v>128</v>
      </c>
      <c r="H2557"/>
      <c r="I2557"/>
    </row>
    <row r="2558" spans="1:9" x14ac:dyDescent="0.35">
      <c r="A2558" s="71">
        <f t="shared" si="79"/>
        <v>72838.099999999977</v>
      </c>
      <c r="B2558" s="72">
        <f t="shared" si="78"/>
        <v>-65</v>
      </c>
      <c r="C2558" s="70">
        <v>2557</v>
      </c>
      <c r="E2558" s="66">
        <v>65</v>
      </c>
      <c r="F2558" s="85">
        <v>45977</v>
      </c>
      <c r="G2558" s="64" t="s">
        <v>1043</v>
      </c>
      <c r="H2558"/>
      <c r="I2558"/>
    </row>
    <row r="2559" spans="1:9" x14ac:dyDescent="0.35">
      <c r="A2559" s="71">
        <f t="shared" si="79"/>
        <v>72748.099999999977</v>
      </c>
      <c r="B2559" s="72">
        <f t="shared" si="78"/>
        <v>-90</v>
      </c>
      <c r="C2559" s="70">
        <v>2558</v>
      </c>
      <c r="E2559" s="66">
        <v>90</v>
      </c>
      <c r="F2559" s="85">
        <v>45977</v>
      </c>
      <c r="G2559" s="64" t="s">
        <v>437</v>
      </c>
      <c r="H2559"/>
      <c r="I2559"/>
    </row>
    <row r="2560" spans="1:9" x14ac:dyDescent="0.35">
      <c r="A2560" s="71">
        <f t="shared" si="79"/>
        <v>71358.099999999977</v>
      </c>
      <c r="B2560" s="72">
        <f t="shared" si="78"/>
        <v>-1390</v>
      </c>
      <c r="C2560" s="70">
        <v>2559</v>
      </c>
      <c r="E2560" s="66">
        <v>1390</v>
      </c>
      <c r="F2560" s="85">
        <v>45977</v>
      </c>
      <c r="G2560" s="64" t="s">
        <v>1439</v>
      </c>
      <c r="H2560"/>
      <c r="I2560"/>
    </row>
    <row r="2561" spans="1:9" x14ac:dyDescent="0.35">
      <c r="A2561" s="71">
        <f t="shared" si="79"/>
        <v>70858.099999999977</v>
      </c>
      <c r="B2561" s="72">
        <f t="shared" si="78"/>
        <v>-500</v>
      </c>
      <c r="C2561" s="70">
        <v>2560</v>
      </c>
      <c r="E2561" s="66">
        <v>500</v>
      </c>
      <c r="F2561" s="85">
        <v>45977</v>
      </c>
      <c r="G2561" s="64" t="s">
        <v>1431</v>
      </c>
      <c r="H2561"/>
      <c r="I2561"/>
    </row>
    <row r="2562" spans="1:9" x14ac:dyDescent="0.35">
      <c r="A2562" s="71">
        <f t="shared" si="79"/>
        <v>70558.099999999977</v>
      </c>
      <c r="B2562" s="72">
        <f t="shared" si="78"/>
        <v>-300</v>
      </c>
      <c r="C2562" s="70">
        <v>2561</v>
      </c>
      <c r="E2562" s="66">
        <v>300</v>
      </c>
      <c r="F2562" s="85">
        <v>45977</v>
      </c>
      <c r="G2562" s="64" t="s">
        <v>1430</v>
      </c>
      <c r="H2562"/>
      <c r="I2562"/>
    </row>
    <row r="2563" spans="1:9" x14ac:dyDescent="0.35">
      <c r="A2563" s="71">
        <f t="shared" si="79"/>
        <v>70558.099999999977</v>
      </c>
      <c r="B2563" s="72">
        <f t="shared" ref="B2563:B2626" si="80">SUM(D2563-E2563)</f>
        <v>0</v>
      </c>
      <c r="C2563" s="70">
        <v>2562</v>
      </c>
      <c r="D2563" s="65">
        <v>50</v>
      </c>
      <c r="E2563" s="66">
        <v>50</v>
      </c>
      <c r="F2563" s="85">
        <v>45977</v>
      </c>
      <c r="G2563" s="64" t="s">
        <v>1433</v>
      </c>
      <c r="H2563"/>
      <c r="I2563"/>
    </row>
    <row r="2564" spans="1:9" x14ac:dyDescent="0.35">
      <c r="A2564" s="71">
        <f t="shared" ref="A2564:A2627" si="81">SUM(A2563+B2564)</f>
        <v>60558.099999999977</v>
      </c>
      <c r="B2564" s="72">
        <f t="shared" si="80"/>
        <v>-10000</v>
      </c>
      <c r="C2564" s="70">
        <v>2563</v>
      </c>
      <c r="E2564" s="66">
        <v>10000</v>
      </c>
      <c r="F2564" s="85">
        <v>45977</v>
      </c>
      <c r="G2564" s="64" t="s">
        <v>1432</v>
      </c>
      <c r="H2564"/>
      <c r="I2564"/>
    </row>
    <row r="2565" spans="1:9" x14ac:dyDescent="0.35">
      <c r="A2565" s="71">
        <f t="shared" si="81"/>
        <v>60458.099999999977</v>
      </c>
      <c r="B2565" s="72">
        <f t="shared" si="80"/>
        <v>-100</v>
      </c>
      <c r="C2565" s="70">
        <v>2564</v>
      </c>
      <c r="E2565" s="66">
        <v>100</v>
      </c>
      <c r="F2565" s="85">
        <v>45977</v>
      </c>
      <c r="G2565" s="64" t="s">
        <v>334</v>
      </c>
      <c r="H2565"/>
      <c r="I2565"/>
    </row>
    <row r="2566" spans="1:9" x14ac:dyDescent="0.35">
      <c r="A2566" s="71">
        <f t="shared" si="81"/>
        <v>46400.099999999977</v>
      </c>
      <c r="B2566" s="72">
        <f t="shared" si="80"/>
        <v>-14058</v>
      </c>
      <c r="C2566" s="70">
        <v>2565</v>
      </c>
      <c r="E2566" s="66">
        <v>14058</v>
      </c>
      <c r="F2566" s="85">
        <v>45978</v>
      </c>
      <c r="G2566" s="64" t="s">
        <v>1434</v>
      </c>
      <c r="H2566"/>
      <c r="I2566"/>
    </row>
    <row r="2567" spans="1:9" x14ac:dyDescent="0.35">
      <c r="A2567" s="71">
        <f t="shared" si="81"/>
        <v>42400.099999999977</v>
      </c>
      <c r="B2567" s="72">
        <f t="shared" si="80"/>
        <v>-4000</v>
      </c>
      <c r="C2567" s="70">
        <v>2566</v>
      </c>
      <c r="E2567" s="66">
        <v>4000</v>
      </c>
      <c r="F2567" s="85">
        <v>45978</v>
      </c>
      <c r="G2567" s="64" t="s">
        <v>1435</v>
      </c>
      <c r="H2567"/>
      <c r="I2567"/>
    </row>
    <row r="2568" spans="1:9" x14ac:dyDescent="0.35">
      <c r="A2568" s="71">
        <f t="shared" si="81"/>
        <v>44830.099999999977</v>
      </c>
      <c r="B2568" s="72">
        <f t="shared" si="80"/>
        <v>2430</v>
      </c>
      <c r="C2568" s="70">
        <v>2567</v>
      </c>
      <c r="D2568" s="65">
        <v>2520</v>
      </c>
      <c r="E2568" s="66">
        <v>90</v>
      </c>
      <c r="F2568" s="85">
        <v>45978</v>
      </c>
      <c r="G2568" s="64" t="s">
        <v>437</v>
      </c>
      <c r="H2568"/>
      <c r="I2568"/>
    </row>
    <row r="2569" spans="1:9" x14ac:dyDescent="0.35">
      <c r="A2569" s="71">
        <f t="shared" si="81"/>
        <v>42330.099999999977</v>
      </c>
      <c r="B2569" s="72">
        <f t="shared" si="80"/>
        <v>-2500</v>
      </c>
      <c r="C2569" s="70">
        <v>2568</v>
      </c>
      <c r="E2569" s="66">
        <v>2500</v>
      </c>
      <c r="F2569" s="85">
        <v>45979</v>
      </c>
      <c r="G2569" s="64" t="s">
        <v>1436</v>
      </c>
      <c r="H2569"/>
      <c r="I2569"/>
    </row>
    <row r="2570" spans="1:9" x14ac:dyDescent="0.35">
      <c r="A2570" s="71">
        <f t="shared" si="81"/>
        <v>42530.099999999977</v>
      </c>
      <c r="B2570" s="72">
        <f t="shared" si="80"/>
        <v>200</v>
      </c>
      <c r="C2570" s="70">
        <v>2569</v>
      </c>
      <c r="D2570" s="65">
        <v>200</v>
      </c>
      <c r="F2570" s="85">
        <v>45979</v>
      </c>
      <c r="G2570" s="64" t="s">
        <v>1437</v>
      </c>
      <c r="H2570"/>
      <c r="I2570"/>
    </row>
    <row r="2571" spans="1:9" x14ac:dyDescent="0.35">
      <c r="A2571" s="71">
        <f t="shared" si="81"/>
        <v>41630.099999999977</v>
      </c>
      <c r="B2571" s="72">
        <f t="shared" si="80"/>
        <v>-900</v>
      </c>
      <c r="C2571" s="70">
        <v>2570</v>
      </c>
      <c r="E2571" s="66">
        <v>900</v>
      </c>
      <c r="F2571" s="85">
        <v>45979</v>
      </c>
      <c r="G2571" s="64" t="s">
        <v>1438</v>
      </c>
      <c r="H2571"/>
      <c r="I2571"/>
    </row>
    <row r="2572" spans="1:9" x14ac:dyDescent="0.35">
      <c r="A2572" s="71">
        <f t="shared" si="81"/>
        <v>41080.099999999977</v>
      </c>
      <c r="B2572" s="72">
        <f t="shared" si="80"/>
        <v>-550</v>
      </c>
      <c r="C2572" s="70">
        <v>2571</v>
      </c>
      <c r="E2572" s="66">
        <v>550</v>
      </c>
      <c r="F2572" s="85">
        <v>45979</v>
      </c>
      <c r="G2572" s="64" t="s">
        <v>1440</v>
      </c>
      <c r="H2572"/>
      <c r="I2572"/>
    </row>
    <row r="2573" spans="1:9" x14ac:dyDescent="0.35">
      <c r="A2573" s="71">
        <f t="shared" si="81"/>
        <v>69980.099999999977</v>
      </c>
      <c r="B2573" s="72">
        <f t="shared" si="80"/>
        <v>28900</v>
      </c>
      <c r="C2573" s="70">
        <v>2572</v>
      </c>
      <c r="D2573" s="65">
        <v>28900</v>
      </c>
      <c r="F2573" s="85">
        <v>45979</v>
      </c>
      <c r="G2573" s="64" t="s">
        <v>12</v>
      </c>
      <c r="H2573"/>
      <c r="I2573"/>
    </row>
    <row r="2574" spans="1:9" x14ac:dyDescent="0.35">
      <c r="A2574" s="71">
        <f t="shared" si="81"/>
        <v>69800.099999999977</v>
      </c>
      <c r="B2574" s="72">
        <f t="shared" si="80"/>
        <v>-180</v>
      </c>
      <c r="C2574" s="70">
        <v>2573</v>
      </c>
      <c r="E2574" s="66">
        <v>180</v>
      </c>
      <c r="F2574" s="85">
        <v>45979</v>
      </c>
      <c r="G2574" s="64" t="s">
        <v>437</v>
      </c>
      <c r="H2574"/>
      <c r="I2574"/>
    </row>
    <row r="2575" spans="1:9" x14ac:dyDescent="0.35">
      <c r="A2575" s="71">
        <f t="shared" si="81"/>
        <v>68820.099999999977</v>
      </c>
      <c r="B2575" s="72">
        <f t="shared" si="80"/>
        <v>-980</v>
      </c>
      <c r="C2575" s="70">
        <v>2574</v>
      </c>
      <c r="E2575" s="66">
        <v>980</v>
      </c>
      <c r="F2575" s="85">
        <v>45979</v>
      </c>
      <c r="G2575" s="64" t="s">
        <v>1281</v>
      </c>
      <c r="H2575"/>
      <c r="I2575"/>
    </row>
    <row r="2576" spans="1:9" x14ac:dyDescent="0.35">
      <c r="A2576" s="71">
        <f t="shared" si="81"/>
        <v>68820.099999999977</v>
      </c>
      <c r="B2576" s="72">
        <f t="shared" si="80"/>
        <v>0</v>
      </c>
      <c r="C2576" s="70">
        <v>2575</v>
      </c>
      <c r="D2576" s="65">
        <v>200</v>
      </c>
      <c r="E2576" s="66">
        <v>200</v>
      </c>
      <c r="F2576" s="85">
        <v>45979</v>
      </c>
      <c r="G2576" s="64" t="s">
        <v>908</v>
      </c>
      <c r="H2576"/>
      <c r="I2576"/>
    </row>
    <row r="2577" spans="1:9" x14ac:dyDescent="0.35">
      <c r="A2577" s="71">
        <f t="shared" si="81"/>
        <v>66940.099999999977</v>
      </c>
      <c r="B2577" s="72">
        <f t="shared" si="80"/>
        <v>-1880</v>
      </c>
      <c r="C2577" s="70">
        <v>2576</v>
      </c>
      <c r="E2577" s="66">
        <v>1880</v>
      </c>
      <c r="F2577" s="85">
        <v>45979</v>
      </c>
      <c r="G2577" s="64" t="s">
        <v>244</v>
      </c>
      <c r="H2577"/>
      <c r="I2577"/>
    </row>
    <row r="2578" spans="1:9" x14ac:dyDescent="0.35">
      <c r="A2578" s="71">
        <f t="shared" si="81"/>
        <v>66475.099999999977</v>
      </c>
      <c r="B2578" s="72">
        <f t="shared" si="80"/>
        <v>-465</v>
      </c>
      <c r="C2578" s="70">
        <v>2577</v>
      </c>
      <c r="E2578" s="66">
        <v>465</v>
      </c>
      <c r="F2578" s="85">
        <v>45979</v>
      </c>
      <c r="G2578" s="64" t="s">
        <v>1441</v>
      </c>
      <c r="H2578"/>
      <c r="I2578"/>
    </row>
    <row r="2579" spans="1:9" x14ac:dyDescent="0.35">
      <c r="A2579" s="71">
        <f t="shared" si="81"/>
        <v>66475.099999999977</v>
      </c>
      <c r="B2579" s="72">
        <f t="shared" si="80"/>
        <v>0</v>
      </c>
      <c r="C2579" s="70">
        <v>2578</v>
      </c>
      <c r="D2579" s="65">
        <v>200</v>
      </c>
      <c r="E2579" s="66">
        <v>200</v>
      </c>
      <c r="F2579" s="85">
        <v>45980</v>
      </c>
      <c r="G2579" s="64" t="s">
        <v>908</v>
      </c>
      <c r="H2579"/>
      <c r="I2579"/>
    </row>
    <row r="2580" spans="1:9" x14ac:dyDescent="0.35">
      <c r="A2580" s="71">
        <f t="shared" si="81"/>
        <v>79735.099999999977</v>
      </c>
      <c r="B2580" s="72">
        <f t="shared" si="80"/>
        <v>13260</v>
      </c>
      <c r="C2580" s="70">
        <v>2579</v>
      </c>
      <c r="D2580" s="65">
        <v>13280</v>
      </c>
      <c r="E2580" s="66">
        <v>20</v>
      </c>
      <c r="F2580" s="85">
        <v>45980</v>
      </c>
      <c r="G2580" s="64" t="s">
        <v>332</v>
      </c>
      <c r="H2580"/>
      <c r="I2580"/>
    </row>
    <row r="2581" spans="1:9" x14ac:dyDescent="0.35">
      <c r="A2581" s="71">
        <f t="shared" si="81"/>
        <v>79270.099999999977</v>
      </c>
      <c r="B2581" s="72">
        <f t="shared" si="80"/>
        <v>-465</v>
      </c>
      <c r="C2581" s="70">
        <v>2580</v>
      </c>
      <c r="E2581" s="66">
        <v>465</v>
      </c>
      <c r="F2581" s="85">
        <v>45980</v>
      </c>
      <c r="G2581" s="64" t="s">
        <v>1043</v>
      </c>
      <c r="H2581"/>
      <c r="I2581"/>
    </row>
    <row r="2582" spans="1:9" x14ac:dyDescent="0.35">
      <c r="A2582" s="71">
        <f t="shared" si="81"/>
        <v>78980.099999999977</v>
      </c>
      <c r="B2582" s="72">
        <f t="shared" si="80"/>
        <v>-290</v>
      </c>
      <c r="C2582" s="70">
        <v>2581</v>
      </c>
      <c r="E2582" s="66">
        <v>290</v>
      </c>
      <c r="F2582" s="85">
        <v>45980</v>
      </c>
      <c r="G2582" s="64" t="s">
        <v>641</v>
      </c>
      <c r="H2582"/>
      <c r="I2582"/>
    </row>
    <row r="2583" spans="1:9" x14ac:dyDescent="0.35">
      <c r="A2583" s="71">
        <f t="shared" si="81"/>
        <v>77580.099999999977</v>
      </c>
      <c r="B2583" s="72">
        <f t="shared" si="80"/>
        <v>-1400</v>
      </c>
      <c r="C2583" s="70">
        <v>2582</v>
      </c>
      <c r="E2583" s="66">
        <v>1400</v>
      </c>
      <c r="F2583" s="85">
        <v>45980</v>
      </c>
      <c r="G2583" s="64" t="s">
        <v>1442</v>
      </c>
      <c r="H2583"/>
      <c r="I2583"/>
    </row>
    <row r="2584" spans="1:9" x14ac:dyDescent="0.35">
      <c r="A2584" s="71">
        <f t="shared" si="81"/>
        <v>77400.099999999977</v>
      </c>
      <c r="B2584" s="72">
        <f t="shared" si="80"/>
        <v>-180</v>
      </c>
      <c r="C2584" s="70">
        <v>2583</v>
      </c>
      <c r="E2584" s="66">
        <v>180</v>
      </c>
      <c r="F2584" s="85">
        <v>45980</v>
      </c>
      <c r="G2584" s="64" t="s">
        <v>437</v>
      </c>
      <c r="H2584"/>
      <c r="I2584"/>
    </row>
    <row r="2585" spans="1:9" x14ac:dyDescent="0.35">
      <c r="A2585" s="71">
        <f t="shared" si="81"/>
        <v>76925.099999999977</v>
      </c>
      <c r="B2585" s="72">
        <f t="shared" si="80"/>
        <v>-475</v>
      </c>
      <c r="C2585" s="70">
        <v>2584</v>
      </c>
      <c r="E2585" s="66">
        <v>475</v>
      </c>
      <c r="F2585" s="85">
        <v>45980</v>
      </c>
      <c r="G2585" s="64" t="s">
        <v>1441</v>
      </c>
      <c r="H2585"/>
      <c r="I2585"/>
    </row>
    <row r="2586" spans="1:9" x14ac:dyDescent="0.35">
      <c r="A2586" s="71">
        <f t="shared" si="81"/>
        <v>77805.099999999977</v>
      </c>
      <c r="B2586" s="72">
        <f t="shared" si="80"/>
        <v>880</v>
      </c>
      <c r="C2586" s="70">
        <v>2585</v>
      </c>
      <c r="D2586" s="65">
        <v>1060</v>
      </c>
      <c r="E2586" s="66">
        <v>180</v>
      </c>
      <c r="F2586" s="85">
        <v>45981</v>
      </c>
      <c r="G2586" s="64" t="s">
        <v>437</v>
      </c>
      <c r="H2586"/>
      <c r="I2586"/>
    </row>
    <row r="2587" spans="1:9" x14ac:dyDescent="0.35">
      <c r="A2587" s="71">
        <f t="shared" si="81"/>
        <v>77715.099999999977</v>
      </c>
      <c r="B2587" s="72">
        <f t="shared" si="80"/>
        <v>-90</v>
      </c>
      <c r="C2587" s="70">
        <v>2586</v>
      </c>
      <c r="E2587" s="66">
        <v>90</v>
      </c>
      <c r="F2587" s="85">
        <v>45981</v>
      </c>
      <c r="G2587" s="64" t="s">
        <v>752</v>
      </c>
      <c r="H2587"/>
      <c r="I2587"/>
    </row>
    <row r="2588" spans="1:9" x14ac:dyDescent="0.35">
      <c r="A2588" s="71">
        <f t="shared" si="81"/>
        <v>77535.099999999977</v>
      </c>
      <c r="B2588" s="72">
        <f t="shared" si="80"/>
        <v>-180</v>
      </c>
      <c r="C2588" s="70">
        <v>2587</v>
      </c>
      <c r="E2588" s="66">
        <v>180</v>
      </c>
      <c r="F2588" s="85">
        <v>45983</v>
      </c>
      <c r="G2588" s="64" t="s">
        <v>195</v>
      </c>
      <c r="H2588"/>
      <c r="I2588"/>
    </row>
    <row r="2589" spans="1:9" x14ac:dyDescent="0.35">
      <c r="A2589" s="71">
        <f t="shared" si="81"/>
        <v>80625.099999999977</v>
      </c>
      <c r="B2589" s="72">
        <f t="shared" si="80"/>
        <v>3090</v>
      </c>
      <c r="C2589" s="70">
        <v>2588</v>
      </c>
      <c r="D2589" s="65">
        <v>3110</v>
      </c>
      <c r="E2589" s="66">
        <v>20</v>
      </c>
      <c r="F2589" s="85">
        <v>45983</v>
      </c>
      <c r="G2589" s="64" t="s">
        <v>1443</v>
      </c>
      <c r="H2589"/>
      <c r="I2589"/>
    </row>
    <row r="2590" spans="1:9" x14ac:dyDescent="0.35">
      <c r="A2590" s="71">
        <f t="shared" si="81"/>
        <v>80535.099999999977</v>
      </c>
      <c r="B2590" s="72">
        <f t="shared" si="80"/>
        <v>-90</v>
      </c>
      <c r="C2590" s="70">
        <v>2589</v>
      </c>
      <c r="E2590" s="66">
        <v>90</v>
      </c>
      <c r="F2590" s="85">
        <v>45983</v>
      </c>
      <c r="G2590" s="64" t="s">
        <v>437</v>
      </c>
      <c r="H2590"/>
      <c r="I2590"/>
    </row>
    <row r="2591" spans="1:9" x14ac:dyDescent="0.35">
      <c r="A2591" s="71">
        <f t="shared" si="81"/>
        <v>80445.099999999977</v>
      </c>
      <c r="B2591" s="72">
        <f t="shared" si="80"/>
        <v>-90</v>
      </c>
      <c r="C2591" s="70">
        <v>2590</v>
      </c>
      <c r="E2591" s="66">
        <v>90</v>
      </c>
      <c r="F2591" s="85">
        <v>45983</v>
      </c>
      <c r="G2591" s="64" t="s">
        <v>400</v>
      </c>
      <c r="H2591"/>
      <c r="I2591"/>
    </row>
    <row r="2592" spans="1:9" x14ac:dyDescent="0.35">
      <c r="A2592" s="71">
        <f t="shared" si="81"/>
        <v>80395.099999999977</v>
      </c>
      <c r="B2592" s="72">
        <f t="shared" si="80"/>
        <v>-50</v>
      </c>
      <c r="C2592" s="70">
        <v>2591</v>
      </c>
      <c r="E2592" s="66">
        <v>50</v>
      </c>
      <c r="F2592" s="85">
        <v>45983</v>
      </c>
      <c r="G2592" s="64" t="s">
        <v>332</v>
      </c>
      <c r="H2592"/>
      <c r="I2592"/>
    </row>
    <row r="2593" spans="1:9" x14ac:dyDescent="0.35">
      <c r="A2593" s="71">
        <f t="shared" si="81"/>
        <v>79395.099999999977</v>
      </c>
      <c r="B2593" s="72">
        <f t="shared" si="80"/>
        <v>-1000</v>
      </c>
      <c r="C2593" s="70">
        <v>2592</v>
      </c>
      <c r="E2593" s="66">
        <v>1000</v>
      </c>
      <c r="F2593" s="85">
        <v>45984</v>
      </c>
      <c r="G2593" s="64" t="s">
        <v>1183</v>
      </c>
      <c r="H2593"/>
      <c r="I2593"/>
    </row>
    <row r="2594" spans="1:9" x14ac:dyDescent="0.35">
      <c r="A2594" s="71">
        <f t="shared" si="81"/>
        <v>75395.099999999977</v>
      </c>
      <c r="B2594" s="72">
        <f t="shared" si="80"/>
        <v>-4000</v>
      </c>
      <c r="C2594" s="70">
        <v>2593</v>
      </c>
      <c r="E2594" s="66">
        <v>4000</v>
      </c>
      <c r="F2594" s="85">
        <v>45984</v>
      </c>
      <c r="G2594" s="64" t="s">
        <v>1444</v>
      </c>
      <c r="H2594"/>
      <c r="I2594"/>
    </row>
    <row r="2595" spans="1:9" x14ac:dyDescent="0.35">
      <c r="A2595" s="71">
        <f t="shared" si="81"/>
        <v>75245.099999999977</v>
      </c>
      <c r="B2595" s="72">
        <f t="shared" si="80"/>
        <v>-150</v>
      </c>
      <c r="C2595" s="70">
        <v>2594</v>
      </c>
      <c r="E2595" s="66">
        <v>150</v>
      </c>
      <c r="F2595" s="85">
        <v>45984</v>
      </c>
      <c r="G2595" s="64" t="s">
        <v>1445</v>
      </c>
      <c r="H2595"/>
      <c r="I2595"/>
    </row>
    <row r="2596" spans="1:9" x14ac:dyDescent="0.35">
      <c r="A2596" s="71">
        <f t="shared" si="81"/>
        <v>73745.099999999977</v>
      </c>
      <c r="B2596" s="72">
        <f t="shared" si="80"/>
        <v>-1500</v>
      </c>
      <c r="C2596" s="70">
        <v>2595</v>
      </c>
      <c r="E2596" s="66">
        <v>1500</v>
      </c>
      <c r="F2596" s="85">
        <v>45984</v>
      </c>
      <c r="G2596" s="64" t="s">
        <v>177</v>
      </c>
      <c r="H2596"/>
      <c r="I2596"/>
    </row>
    <row r="2597" spans="1:9" x14ac:dyDescent="0.35">
      <c r="A2597" s="71">
        <f t="shared" si="81"/>
        <v>72245.099999999977</v>
      </c>
      <c r="B2597" s="72">
        <f t="shared" si="80"/>
        <v>-1500</v>
      </c>
      <c r="C2597" s="70">
        <v>2596</v>
      </c>
      <c r="E2597" s="66">
        <v>1500</v>
      </c>
      <c r="F2597" s="85">
        <v>45984</v>
      </c>
      <c r="G2597" s="64" t="s">
        <v>1446</v>
      </c>
      <c r="H2597"/>
      <c r="I2597"/>
    </row>
    <row r="2598" spans="1:9" x14ac:dyDescent="0.35">
      <c r="A2598" s="71">
        <f t="shared" si="81"/>
        <v>86730.099999999977</v>
      </c>
      <c r="B2598" s="72">
        <f t="shared" si="80"/>
        <v>14485</v>
      </c>
      <c r="C2598" s="70">
        <v>2597</v>
      </c>
      <c r="D2598" s="65">
        <v>14805</v>
      </c>
      <c r="E2598" s="66">
        <v>320</v>
      </c>
      <c r="F2598" s="85">
        <v>45984</v>
      </c>
      <c r="G2598" s="64" t="s">
        <v>75</v>
      </c>
      <c r="H2598"/>
      <c r="I2598"/>
    </row>
    <row r="2599" spans="1:9" x14ac:dyDescent="0.35">
      <c r="A2599" s="71">
        <f t="shared" si="81"/>
        <v>86730.099999999977</v>
      </c>
      <c r="B2599" s="72">
        <f t="shared" si="80"/>
        <v>0</v>
      </c>
      <c r="C2599" s="70">
        <v>2598</v>
      </c>
      <c r="D2599" s="65">
        <v>200</v>
      </c>
      <c r="E2599" s="66">
        <v>200</v>
      </c>
      <c r="F2599" s="85">
        <v>45984</v>
      </c>
      <c r="G2599" s="64" t="s">
        <v>1476</v>
      </c>
      <c r="H2599"/>
      <c r="I2599"/>
    </row>
    <row r="2600" spans="1:9" x14ac:dyDescent="0.35">
      <c r="A2600" s="71">
        <f t="shared" si="81"/>
        <v>86575.099999999977</v>
      </c>
      <c r="B2600" s="72">
        <f t="shared" si="80"/>
        <v>-155</v>
      </c>
      <c r="C2600" s="70">
        <v>2599</v>
      </c>
      <c r="E2600" s="66">
        <v>155</v>
      </c>
      <c r="F2600" s="85">
        <v>45984</v>
      </c>
      <c r="G2600" s="64" t="s">
        <v>1447</v>
      </c>
      <c r="H2600"/>
      <c r="I2600"/>
    </row>
    <row r="2601" spans="1:9" x14ac:dyDescent="0.35">
      <c r="A2601" s="71">
        <f t="shared" si="81"/>
        <v>86565.099999999977</v>
      </c>
      <c r="B2601" s="72">
        <f t="shared" si="80"/>
        <v>-10</v>
      </c>
      <c r="C2601" s="70">
        <v>2600</v>
      </c>
      <c r="E2601" s="66">
        <v>10</v>
      </c>
      <c r="F2601" s="85">
        <v>45984</v>
      </c>
      <c r="G2601" s="64" t="s">
        <v>1448</v>
      </c>
      <c r="H2601"/>
      <c r="I2601"/>
    </row>
    <row r="2602" spans="1:9" x14ac:dyDescent="0.35">
      <c r="A2602" s="71">
        <f t="shared" si="81"/>
        <v>86515.099999999977</v>
      </c>
      <c r="B2602" s="72">
        <f t="shared" si="80"/>
        <v>-50</v>
      </c>
      <c r="C2602" s="70">
        <v>2601</v>
      </c>
      <c r="E2602" s="66">
        <v>50</v>
      </c>
      <c r="F2602" s="85">
        <v>45984</v>
      </c>
      <c r="G2602" s="64" t="s">
        <v>334</v>
      </c>
      <c r="H2602"/>
      <c r="I2602"/>
    </row>
    <row r="2603" spans="1:9" x14ac:dyDescent="0.35">
      <c r="A2603" s="71">
        <f t="shared" si="81"/>
        <v>86050.099999999977</v>
      </c>
      <c r="B2603" s="72">
        <f t="shared" si="80"/>
        <v>-465</v>
      </c>
      <c r="C2603" s="70">
        <v>2602</v>
      </c>
      <c r="E2603" s="66">
        <v>465</v>
      </c>
      <c r="F2603" s="85">
        <v>45984</v>
      </c>
      <c r="G2603" s="64" t="s">
        <v>1043</v>
      </c>
      <c r="H2603"/>
      <c r="I2603"/>
    </row>
    <row r="2604" spans="1:9" x14ac:dyDescent="0.35">
      <c r="A2604" s="71">
        <f t="shared" si="81"/>
        <v>86030.099999999977</v>
      </c>
      <c r="B2604" s="72">
        <f t="shared" si="80"/>
        <v>-20</v>
      </c>
      <c r="C2604" s="70">
        <v>2603</v>
      </c>
      <c r="E2604" s="66">
        <v>20</v>
      </c>
      <c r="F2604" s="85">
        <v>45985</v>
      </c>
      <c r="G2604" s="64" t="s">
        <v>462</v>
      </c>
      <c r="H2604"/>
      <c r="I2604"/>
    </row>
    <row r="2605" spans="1:9" x14ac:dyDescent="0.35">
      <c r="A2605" s="71">
        <f t="shared" si="81"/>
        <v>85780.099999999977</v>
      </c>
      <c r="B2605" s="72">
        <f t="shared" si="80"/>
        <v>-250</v>
      </c>
      <c r="C2605" s="70">
        <v>2604</v>
      </c>
      <c r="E2605" s="66">
        <v>250</v>
      </c>
      <c r="F2605" s="85">
        <v>45985</v>
      </c>
      <c r="G2605" s="64" t="s">
        <v>474</v>
      </c>
      <c r="H2605"/>
      <c r="I2605"/>
    </row>
    <row r="2606" spans="1:9" x14ac:dyDescent="0.35">
      <c r="A2606" s="71">
        <f t="shared" si="81"/>
        <v>80780.099999999977</v>
      </c>
      <c r="B2606" s="72">
        <f t="shared" si="80"/>
        <v>-5000</v>
      </c>
      <c r="C2606" s="70">
        <v>2605</v>
      </c>
      <c r="E2606" s="66">
        <v>5000</v>
      </c>
      <c r="F2606" s="85">
        <v>45985</v>
      </c>
      <c r="G2606" s="64" t="s">
        <v>1449</v>
      </c>
      <c r="H2606"/>
      <c r="I2606"/>
    </row>
    <row r="2607" spans="1:9" x14ac:dyDescent="0.35">
      <c r="A2607" s="71">
        <f t="shared" si="81"/>
        <v>80625.099999999977</v>
      </c>
      <c r="B2607" s="72">
        <f t="shared" si="80"/>
        <v>-155</v>
      </c>
      <c r="C2607" s="70">
        <v>2606</v>
      </c>
      <c r="E2607" s="66">
        <v>155</v>
      </c>
      <c r="F2607" s="85">
        <v>45985</v>
      </c>
      <c r="G2607" s="64" t="s">
        <v>961</v>
      </c>
      <c r="H2607"/>
      <c r="I2607"/>
    </row>
    <row r="2608" spans="1:9" x14ac:dyDescent="0.35">
      <c r="A2608" s="71">
        <f t="shared" si="81"/>
        <v>85400.099999999977</v>
      </c>
      <c r="B2608" s="72">
        <f t="shared" si="80"/>
        <v>4775</v>
      </c>
      <c r="C2608" s="70">
        <v>2607</v>
      </c>
      <c r="D2608" s="65">
        <v>4775</v>
      </c>
      <c r="F2608" s="85">
        <v>45985</v>
      </c>
      <c r="H2608"/>
      <c r="I2608"/>
    </row>
    <row r="2609" spans="1:9" x14ac:dyDescent="0.35">
      <c r="A2609" s="71">
        <f t="shared" si="81"/>
        <v>85130.099999999977</v>
      </c>
      <c r="B2609" s="72">
        <f t="shared" si="80"/>
        <v>-270</v>
      </c>
      <c r="C2609" s="70">
        <v>2608</v>
      </c>
      <c r="E2609" s="66">
        <v>270</v>
      </c>
      <c r="F2609" s="85">
        <v>45985</v>
      </c>
      <c r="G2609" s="64" t="s">
        <v>437</v>
      </c>
      <c r="H2609"/>
      <c r="I2609"/>
    </row>
    <row r="2610" spans="1:9" x14ac:dyDescent="0.35">
      <c r="A2610" s="71">
        <f t="shared" si="81"/>
        <v>85040.099999999977</v>
      </c>
      <c r="B2610" s="72">
        <f t="shared" si="80"/>
        <v>-90</v>
      </c>
      <c r="C2610" s="70">
        <v>2609</v>
      </c>
      <c r="E2610" s="66">
        <v>90</v>
      </c>
      <c r="F2610" s="85">
        <v>45985</v>
      </c>
      <c r="G2610" s="64" t="s">
        <v>752</v>
      </c>
      <c r="H2610"/>
      <c r="I2610"/>
    </row>
    <row r="2611" spans="1:9" x14ac:dyDescent="0.35">
      <c r="A2611" s="71">
        <f t="shared" si="81"/>
        <v>55040.099999999977</v>
      </c>
      <c r="B2611" s="72">
        <f t="shared" si="80"/>
        <v>-30000</v>
      </c>
      <c r="C2611" s="70">
        <v>2610</v>
      </c>
      <c r="E2611" s="66">
        <v>30000</v>
      </c>
      <c r="F2611" s="85">
        <v>45985</v>
      </c>
      <c r="G2611" s="64" t="s">
        <v>1450</v>
      </c>
      <c r="H2611"/>
      <c r="I2611"/>
    </row>
    <row r="2612" spans="1:9" x14ac:dyDescent="0.35">
      <c r="A2612" s="71">
        <f t="shared" si="81"/>
        <v>55040.099999999977</v>
      </c>
      <c r="B2612" s="72">
        <f t="shared" si="80"/>
        <v>0</v>
      </c>
      <c r="C2612" s="70">
        <v>2611</v>
      </c>
      <c r="D2612" s="65">
        <v>3900</v>
      </c>
      <c r="E2612" s="66">
        <v>3900</v>
      </c>
      <c r="F2612" s="85">
        <v>45985</v>
      </c>
      <c r="G2612" s="64" t="s">
        <v>1458</v>
      </c>
      <c r="H2612"/>
      <c r="I2612"/>
    </row>
    <row r="2613" spans="1:9" x14ac:dyDescent="0.35">
      <c r="A2613" s="71">
        <f t="shared" si="81"/>
        <v>77575.099999999977</v>
      </c>
      <c r="B2613" s="72">
        <f t="shared" si="80"/>
        <v>22535</v>
      </c>
      <c r="C2613" s="70">
        <v>2612</v>
      </c>
      <c r="D2613" s="65">
        <v>22535</v>
      </c>
      <c r="F2613" s="85">
        <v>45986</v>
      </c>
      <c r="H2613"/>
      <c r="I2613"/>
    </row>
    <row r="2614" spans="1:9" x14ac:dyDescent="0.35">
      <c r="A2614" s="71">
        <f t="shared" si="81"/>
        <v>77425.099999999977</v>
      </c>
      <c r="B2614" s="72">
        <f t="shared" si="80"/>
        <v>-150</v>
      </c>
      <c r="C2614" s="70">
        <v>2613</v>
      </c>
      <c r="E2614" s="66">
        <v>150</v>
      </c>
      <c r="F2614" s="85">
        <v>45986</v>
      </c>
      <c r="G2614" s="64" t="s">
        <v>1162</v>
      </c>
      <c r="H2614"/>
      <c r="I2614"/>
    </row>
    <row r="2615" spans="1:9" x14ac:dyDescent="0.35">
      <c r="A2615" s="71">
        <f t="shared" si="81"/>
        <v>77325.099999999977</v>
      </c>
      <c r="B2615" s="72">
        <f t="shared" si="80"/>
        <v>-100</v>
      </c>
      <c r="C2615" s="70">
        <v>2614</v>
      </c>
      <c r="E2615" s="66">
        <v>100</v>
      </c>
      <c r="F2615" s="85">
        <v>45986</v>
      </c>
      <c r="G2615" s="64" t="s">
        <v>1451</v>
      </c>
      <c r="H2615"/>
      <c r="I2615"/>
    </row>
    <row r="2616" spans="1:9" x14ac:dyDescent="0.35">
      <c r="A2616" s="71">
        <f t="shared" si="81"/>
        <v>77325.099999999977</v>
      </c>
      <c r="B2616" s="72">
        <f t="shared" si="80"/>
        <v>0</v>
      </c>
      <c r="C2616" s="70">
        <v>2615</v>
      </c>
      <c r="D2616" s="65">
        <v>50</v>
      </c>
      <c r="E2616" s="66">
        <v>50</v>
      </c>
      <c r="F2616" s="85">
        <v>45986</v>
      </c>
      <c r="G2616" s="64" t="s">
        <v>332</v>
      </c>
      <c r="H2616"/>
      <c r="I2616"/>
    </row>
    <row r="2617" spans="1:9" x14ac:dyDescent="0.35">
      <c r="A2617" s="71">
        <f t="shared" si="81"/>
        <v>77240.099999999977</v>
      </c>
      <c r="B2617" s="72">
        <f t="shared" si="80"/>
        <v>-85</v>
      </c>
      <c r="C2617" s="70">
        <v>2616</v>
      </c>
      <c r="E2617" s="66">
        <v>85</v>
      </c>
      <c r="F2617" s="85">
        <v>45986</v>
      </c>
      <c r="G2617" s="64" t="s">
        <v>1452</v>
      </c>
      <c r="H2617"/>
      <c r="I2617"/>
    </row>
    <row r="2618" spans="1:9" x14ac:dyDescent="0.35">
      <c r="A2618" s="71">
        <f t="shared" si="81"/>
        <v>75440.099999999977</v>
      </c>
      <c r="B2618" s="72">
        <f t="shared" si="80"/>
        <v>-1800</v>
      </c>
      <c r="C2618" s="70">
        <v>2617</v>
      </c>
      <c r="E2618" s="66">
        <v>1800</v>
      </c>
      <c r="F2618" s="85">
        <v>45986</v>
      </c>
      <c r="G2618" s="64" t="s">
        <v>1183</v>
      </c>
      <c r="H2618"/>
      <c r="I2618"/>
    </row>
    <row r="2619" spans="1:9" x14ac:dyDescent="0.35">
      <c r="A2619" s="71">
        <f t="shared" si="81"/>
        <v>75350.099999999977</v>
      </c>
      <c r="B2619" s="72">
        <f t="shared" si="80"/>
        <v>-90</v>
      </c>
      <c r="C2619" s="70">
        <v>2618</v>
      </c>
      <c r="E2619" s="66">
        <v>90</v>
      </c>
      <c r="F2619" s="85">
        <v>45986</v>
      </c>
      <c r="G2619" s="64" t="s">
        <v>752</v>
      </c>
      <c r="H2619"/>
      <c r="I2619"/>
    </row>
    <row r="2620" spans="1:9" x14ac:dyDescent="0.35">
      <c r="A2620" s="71">
        <f t="shared" si="81"/>
        <v>75260.099999999977</v>
      </c>
      <c r="B2620" s="72">
        <f t="shared" si="80"/>
        <v>-90</v>
      </c>
      <c r="C2620" s="70">
        <v>2619</v>
      </c>
      <c r="E2620" s="66">
        <v>90</v>
      </c>
      <c r="F2620" s="85">
        <v>45986</v>
      </c>
      <c r="G2620" s="64" t="s">
        <v>400</v>
      </c>
      <c r="H2620"/>
      <c r="I2620"/>
    </row>
    <row r="2621" spans="1:9" x14ac:dyDescent="0.35">
      <c r="A2621" s="71">
        <f t="shared" si="81"/>
        <v>74990.099999999977</v>
      </c>
      <c r="B2621" s="72">
        <f t="shared" si="80"/>
        <v>-270</v>
      </c>
      <c r="C2621" s="70">
        <v>2620</v>
      </c>
      <c r="E2621" s="66">
        <v>270</v>
      </c>
      <c r="F2621" s="85">
        <v>45986</v>
      </c>
      <c r="G2621" s="64" t="s">
        <v>437</v>
      </c>
      <c r="H2621"/>
      <c r="I2621"/>
    </row>
    <row r="2622" spans="1:9" x14ac:dyDescent="0.35">
      <c r="A2622" s="71">
        <f t="shared" si="81"/>
        <v>80940.099999999977</v>
      </c>
      <c r="B2622" s="72">
        <f t="shared" si="80"/>
        <v>5950</v>
      </c>
      <c r="C2622" s="70">
        <v>2621</v>
      </c>
      <c r="D2622" s="65">
        <v>6040</v>
      </c>
      <c r="E2622" s="66">
        <v>90</v>
      </c>
      <c r="F2622" s="85">
        <v>45987</v>
      </c>
      <c r="G2622" s="64" t="s">
        <v>752</v>
      </c>
      <c r="H2622"/>
      <c r="I2622"/>
    </row>
    <row r="2623" spans="1:9" x14ac:dyDescent="0.35">
      <c r="A2623" s="71">
        <f t="shared" si="81"/>
        <v>80940.099999999977</v>
      </c>
      <c r="B2623" s="72">
        <f t="shared" si="80"/>
        <v>0</v>
      </c>
      <c r="C2623" s="70">
        <v>2622</v>
      </c>
      <c r="D2623" s="65">
        <v>50</v>
      </c>
      <c r="E2623" s="66">
        <v>50</v>
      </c>
      <c r="F2623" s="85">
        <v>45987</v>
      </c>
      <c r="G2623" s="64" t="s">
        <v>332</v>
      </c>
      <c r="H2623"/>
      <c r="I2623"/>
    </row>
    <row r="2624" spans="1:9" x14ac:dyDescent="0.35">
      <c r="A2624" s="71">
        <f t="shared" si="81"/>
        <v>80775.099999999977</v>
      </c>
      <c r="B2624" s="72">
        <f t="shared" si="80"/>
        <v>-165</v>
      </c>
      <c r="C2624" s="70">
        <v>2623</v>
      </c>
      <c r="E2624" s="66">
        <v>165</v>
      </c>
      <c r="F2624" s="85">
        <v>45987</v>
      </c>
      <c r="G2624" s="64" t="s">
        <v>1043</v>
      </c>
      <c r="H2624"/>
      <c r="I2624"/>
    </row>
    <row r="2625" spans="1:9" x14ac:dyDescent="0.35">
      <c r="A2625" s="71">
        <f t="shared" si="81"/>
        <v>80775.099999999977</v>
      </c>
      <c r="B2625" s="72">
        <f t="shared" si="80"/>
        <v>0</v>
      </c>
      <c r="C2625" s="70">
        <v>2624</v>
      </c>
      <c r="D2625" s="65">
        <v>200</v>
      </c>
      <c r="E2625" s="66">
        <v>200</v>
      </c>
      <c r="F2625" s="85">
        <v>45987</v>
      </c>
      <c r="G2625" s="64" t="s">
        <v>1082</v>
      </c>
      <c r="H2625"/>
      <c r="I2625"/>
    </row>
    <row r="2626" spans="1:9" x14ac:dyDescent="0.35">
      <c r="A2626" s="71">
        <f t="shared" si="81"/>
        <v>82265.099999999977</v>
      </c>
      <c r="B2626" s="72">
        <f t="shared" si="80"/>
        <v>1490</v>
      </c>
      <c r="C2626" s="70">
        <v>2625</v>
      </c>
      <c r="D2626" s="65">
        <v>1545</v>
      </c>
      <c r="E2626" s="66">
        <v>55</v>
      </c>
      <c r="F2626" s="85">
        <v>45988</v>
      </c>
      <c r="G2626" s="64" t="s">
        <v>1454</v>
      </c>
      <c r="H2626"/>
      <c r="I2626"/>
    </row>
    <row r="2627" spans="1:9" x14ac:dyDescent="0.35">
      <c r="A2627" s="71">
        <f t="shared" si="81"/>
        <v>82265.099999999977</v>
      </c>
      <c r="B2627" s="72">
        <f t="shared" ref="B2627:B2690" si="82">SUM(D2627-E2627)</f>
        <v>0</v>
      </c>
      <c r="C2627" s="70">
        <v>2626</v>
      </c>
      <c r="D2627" s="65">
        <v>50</v>
      </c>
      <c r="E2627" s="66">
        <v>50</v>
      </c>
      <c r="F2627" s="85">
        <v>45988</v>
      </c>
      <c r="G2627" s="64" t="s">
        <v>1455</v>
      </c>
      <c r="H2627"/>
      <c r="I2627"/>
    </row>
    <row r="2628" spans="1:9" x14ac:dyDescent="0.35">
      <c r="A2628" s="71">
        <f t="shared" ref="A2628:A2691" si="83">SUM(A2627+B2628)</f>
        <v>82240.099999999977</v>
      </c>
      <c r="B2628" s="72">
        <f t="shared" si="82"/>
        <v>-25</v>
      </c>
      <c r="C2628" s="70">
        <v>2627</v>
      </c>
      <c r="E2628" s="66">
        <v>25</v>
      </c>
      <c r="F2628" s="85">
        <v>45988</v>
      </c>
      <c r="G2628" s="64" t="s">
        <v>99</v>
      </c>
      <c r="H2628"/>
      <c r="I2628"/>
    </row>
    <row r="2629" spans="1:9" x14ac:dyDescent="0.35">
      <c r="A2629" s="71">
        <f t="shared" si="83"/>
        <v>82060.099999999977</v>
      </c>
      <c r="B2629" s="72">
        <f t="shared" si="82"/>
        <v>-180</v>
      </c>
      <c r="C2629" s="70">
        <v>2628</v>
      </c>
      <c r="E2629" s="66">
        <v>180</v>
      </c>
      <c r="F2629" s="85">
        <v>45988</v>
      </c>
      <c r="G2629" s="64" t="s">
        <v>437</v>
      </c>
      <c r="H2629"/>
      <c r="I2629"/>
    </row>
    <row r="2630" spans="1:9" x14ac:dyDescent="0.35">
      <c r="A2630" s="71">
        <f t="shared" si="83"/>
        <v>81560.099999999977</v>
      </c>
      <c r="B2630" s="72">
        <f t="shared" si="82"/>
        <v>-500</v>
      </c>
      <c r="C2630" s="70">
        <v>2629</v>
      </c>
      <c r="E2630" s="66">
        <v>500</v>
      </c>
      <c r="F2630" s="85">
        <v>45988</v>
      </c>
      <c r="G2630" s="64" t="s">
        <v>541</v>
      </c>
      <c r="H2630"/>
      <c r="I2630"/>
    </row>
    <row r="2631" spans="1:9" x14ac:dyDescent="0.35">
      <c r="A2631" s="71">
        <f t="shared" si="83"/>
        <v>79685.099999999977</v>
      </c>
      <c r="B2631" s="72">
        <f t="shared" si="82"/>
        <v>-1875</v>
      </c>
      <c r="C2631" s="70">
        <v>2630</v>
      </c>
      <c r="E2631" s="66">
        <v>1875</v>
      </c>
      <c r="F2631" s="85">
        <v>45990</v>
      </c>
      <c r="G2631" s="64" t="s">
        <v>1453</v>
      </c>
      <c r="H2631"/>
      <c r="I2631"/>
    </row>
    <row r="2632" spans="1:9" x14ac:dyDescent="0.35">
      <c r="A2632" s="71">
        <f t="shared" si="83"/>
        <v>80945.099999999977</v>
      </c>
      <c r="B2632" s="72">
        <f t="shared" si="82"/>
        <v>1260</v>
      </c>
      <c r="C2632" s="70">
        <v>2631</v>
      </c>
      <c r="D2632" s="65">
        <v>1535</v>
      </c>
      <c r="E2632" s="66">
        <v>275</v>
      </c>
      <c r="F2632" s="85">
        <v>45990</v>
      </c>
      <c r="G2632" s="64" t="s">
        <v>50</v>
      </c>
      <c r="H2632"/>
      <c r="I2632"/>
    </row>
    <row r="2633" spans="1:9" x14ac:dyDescent="0.35">
      <c r="A2633" s="71">
        <f t="shared" si="83"/>
        <v>80705.099999999977</v>
      </c>
      <c r="B2633" s="72">
        <f t="shared" si="82"/>
        <v>-240</v>
      </c>
      <c r="C2633" s="70">
        <v>2632</v>
      </c>
      <c r="E2633" s="66">
        <v>240</v>
      </c>
      <c r="F2633" s="85">
        <v>45990</v>
      </c>
      <c r="G2633" s="64" t="s">
        <v>1456</v>
      </c>
      <c r="H2633"/>
      <c r="I2633"/>
    </row>
    <row r="2634" spans="1:9" x14ac:dyDescent="0.35">
      <c r="A2634" s="71">
        <f t="shared" si="83"/>
        <v>80705.099999999977</v>
      </c>
      <c r="B2634" s="72">
        <f t="shared" si="82"/>
        <v>0</v>
      </c>
      <c r="C2634" s="70">
        <v>2633</v>
      </c>
      <c r="D2634" s="65">
        <v>50</v>
      </c>
      <c r="E2634" s="66">
        <v>50</v>
      </c>
      <c r="F2634" s="85">
        <v>45990</v>
      </c>
      <c r="G2634" s="64" t="s">
        <v>332</v>
      </c>
      <c r="H2634"/>
      <c r="I2634"/>
    </row>
    <row r="2635" spans="1:9" x14ac:dyDescent="0.35">
      <c r="A2635" s="71">
        <f t="shared" si="83"/>
        <v>80525.099999999977</v>
      </c>
      <c r="B2635" s="72">
        <f t="shared" si="82"/>
        <v>-180</v>
      </c>
      <c r="C2635" s="70">
        <v>2634</v>
      </c>
      <c r="E2635" s="66">
        <v>180</v>
      </c>
      <c r="F2635" s="85">
        <v>45990</v>
      </c>
      <c r="G2635" s="64" t="s">
        <v>437</v>
      </c>
      <c r="H2635"/>
      <c r="I2635"/>
    </row>
    <row r="2636" spans="1:9" x14ac:dyDescent="0.35">
      <c r="A2636" s="71">
        <f t="shared" si="83"/>
        <v>80435.099999999977</v>
      </c>
      <c r="B2636" s="72">
        <f t="shared" si="82"/>
        <v>-90</v>
      </c>
      <c r="C2636" s="70">
        <v>2635</v>
      </c>
      <c r="E2636" s="66">
        <v>90</v>
      </c>
      <c r="F2636" s="85">
        <v>45990</v>
      </c>
      <c r="G2636" s="64" t="s">
        <v>400</v>
      </c>
      <c r="H2636"/>
      <c r="I2636"/>
    </row>
    <row r="2637" spans="1:9" x14ac:dyDescent="0.35">
      <c r="A2637" s="71">
        <f t="shared" si="83"/>
        <v>80385.099999999977</v>
      </c>
      <c r="B2637" s="72">
        <f t="shared" si="82"/>
        <v>-50</v>
      </c>
      <c r="C2637" s="70">
        <v>2636</v>
      </c>
      <c r="E2637" s="66">
        <v>50</v>
      </c>
      <c r="F2637" s="85">
        <v>45990</v>
      </c>
      <c r="G2637" s="64" t="s">
        <v>1457</v>
      </c>
      <c r="H2637"/>
      <c r="I2637"/>
    </row>
    <row r="2638" spans="1:9" x14ac:dyDescent="0.35">
      <c r="A2638" s="71">
        <f t="shared" si="83"/>
        <v>78485.099999999977</v>
      </c>
      <c r="B2638" s="72">
        <f t="shared" si="82"/>
        <v>-1900</v>
      </c>
      <c r="C2638" s="70">
        <v>2637</v>
      </c>
      <c r="E2638" s="66">
        <v>1900</v>
      </c>
      <c r="F2638" s="85">
        <v>45991</v>
      </c>
      <c r="G2638" s="64" t="s">
        <v>1459</v>
      </c>
      <c r="H2638"/>
      <c r="I2638"/>
    </row>
    <row r="2639" spans="1:9" x14ac:dyDescent="0.35">
      <c r="A2639" s="71">
        <f t="shared" si="83"/>
        <v>93090.099999999977</v>
      </c>
      <c r="B2639" s="72">
        <f t="shared" si="82"/>
        <v>14605</v>
      </c>
      <c r="C2639" s="70">
        <v>2638</v>
      </c>
      <c r="D2639" s="65">
        <v>14785</v>
      </c>
      <c r="E2639" s="66">
        <v>180</v>
      </c>
      <c r="F2639" s="85">
        <v>45991</v>
      </c>
      <c r="G2639" s="64" t="s">
        <v>437</v>
      </c>
      <c r="H2639"/>
      <c r="I2639"/>
    </row>
    <row r="2640" spans="1:9" x14ac:dyDescent="0.35">
      <c r="A2640" s="71">
        <f t="shared" si="83"/>
        <v>93130.099999999977</v>
      </c>
      <c r="B2640" s="72">
        <f t="shared" si="82"/>
        <v>40</v>
      </c>
      <c r="C2640" s="70">
        <v>2639</v>
      </c>
      <c r="D2640" s="65">
        <v>50</v>
      </c>
      <c r="E2640" s="66">
        <v>10</v>
      </c>
      <c r="F2640" s="85">
        <v>45991</v>
      </c>
      <c r="G2640" s="64" t="s">
        <v>1463</v>
      </c>
      <c r="H2640"/>
      <c r="I2640"/>
    </row>
    <row r="2641" spans="1:9" x14ac:dyDescent="0.35">
      <c r="A2641" s="71">
        <f t="shared" si="83"/>
        <v>92965.099999999977</v>
      </c>
      <c r="B2641" s="72">
        <f t="shared" si="82"/>
        <v>-165</v>
      </c>
      <c r="C2641" s="70">
        <v>2640</v>
      </c>
      <c r="E2641" s="66">
        <v>165</v>
      </c>
      <c r="F2641" s="85">
        <v>45991</v>
      </c>
      <c r="G2641" s="64" t="s">
        <v>1043</v>
      </c>
      <c r="H2641"/>
      <c r="I2641"/>
    </row>
    <row r="2642" spans="1:9" x14ac:dyDescent="0.35">
      <c r="A2642" s="71">
        <f t="shared" si="83"/>
        <v>40292.099999999977</v>
      </c>
      <c r="B2642" s="72">
        <f t="shared" si="82"/>
        <v>-52673</v>
      </c>
      <c r="C2642" s="70">
        <v>2641</v>
      </c>
      <c r="E2642" s="66">
        <v>52673</v>
      </c>
      <c r="F2642" s="85">
        <v>45992</v>
      </c>
      <c r="G2642" s="64" t="s">
        <v>298</v>
      </c>
      <c r="H2642"/>
      <c r="I2642"/>
    </row>
    <row r="2643" spans="1:9" x14ac:dyDescent="0.35">
      <c r="A2643" s="71">
        <f t="shared" si="83"/>
        <v>18792.099999999977</v>
      </c>
      <c r="B2643" s="72">
        <f t="shared" si="82"/>
        <v>-21500</v>
      </c>
      <c r="C2643" s="70">
        <v>2642</v>
      </c>
      <c r="E2643" s="66">
        <v>21500</v>
      </c>
      <c r="F2643" s="85">
        <v>45992</v>
      </c>
      <c r="G2643" s="64" t="s">
        <v>1464</v>
      </c>
      <c r="H2643"/>
      <c r="I2643"/>
    </row>
    <row r="2644" spans="1:9" x14ac:dyDescent="0.35">
      <c r="A2644" s="71">
        <f t="shared" si="83"/>
        <v>18792.099999999977</v>
      </c>
      <c r="B2644" s="72">
        <f t="shared" si="82"/>
        <v>0</v>
      </c>
      <c r="C2644" s="70">
        <v>2643</v>
      </c>
      <c r="D2644" s="65">
        <v>7000</v>
      </c>
      <c r="E2644" s="66">
        <v>7000</v>
      </c>
      <c r="F2644" s="85">
        <v>45992</v>
      </c>
      <c r="G2644" s="64" t="s">
        <v>1474</v>
      </c>
      <c r="H2644"/>
      <c r="I2644"/>
    </row>
    <row r="2645" spans="1:9" x14ac:dyDescent="0.35">
      <c r="A2645" s="71">
        <f t="shared" si="83"/>
        <v>13242.099999999977</v>
      </c>
      <c r="B2645" s="72">
        <f t="shared" si="82"/>
        <v>-5550</v>
      </c>
      <c r="C2645" s="70">
        <v>2644</v>
      </c>
      <c r="E2645" s="66">
        <v>5550</v>
      </c>
      <c r="F2645" s="85">
        <v>45992</v>
      </c>
      <c r="G2645" s="64" t="s">
        <v>1466</v>
      </c>
      <c r="H2645"/>
      <c r="I2645"/>
    </row>
    <row r="2646" spans="1:9" x14ac:dyDescent="0.35">
      <c r="A2646" s="71">
        <f t="shared" si="83"/>
        <v>12942.099999999977</v>
      </c>
      <c r="B2646" s="72">
        <f t="shared" si="82"/>
        <v>-300</v>
      </c>
      <c r="C2646" s="70">
        <v>2645</v>
      </c>
      <c r="E2646" s="66">
        <v>300</v>
      </c>
      <c r="F2646" s="85">
        <v>45992</v>
      </c>
      <c r="G2646" s="64" t="s">
        <v>1465</v>
      </c>
      <c r="H2646"/>
      <c r="I2646"/>
    </row>
    <row r="2647" spans="1:9" x14ac:dyDescent="0.35">
      <c r="A2647" s="71">
        <f t="shared" si="83"/>
        <v>12787.099999999977</v>
      </c>
      <c r="B2647" s="72">
        <f t="shared" si="82"/>
        <v>-155</v>
      </c>
      <c r="C2647" s="70">
        <v>2646</v>
      </c>
      <c r="E2647" s="66">
        <v>155</v>
      </c>
      <c r="F2647" s="85">
        <v>45992</v>
      </c>
      <c r="G2647" s="64" t="s">
        <v>961</v>
      </c>
      <c r="H2647"/>
      <c r="I2647"/>
    </row>
    <row r="2648" spans="1:9" x14ac:dyDescent="0.35">
      <c r="A2648" s="71">
        <f t="shared" si="83"/>
        <v>12822.099999999977</v>
      </c>
      <c r="B2648" s="72">
        <f t="shared" si="82"/>
        <v>35</v>
      </c>
      <c r="C2648" s="70">
        <v>2647</v>
      </c>
      <c r="D2648" s="65">
        <v>35</v>
      </c>
      <c r="F2648" s="85">
        <v>45993</v>
      </c>
      <c r="G2648" s="64" t="s">
        <v>1467</v>
      </c>
      <c r="H2648"/>
      <c r="I2648"/>
    </row>
    <row r="2649" spans="1:9" x14ac:dyDescent="0.35">
      <c r="A2649" s="71">
        <f t="shared" si="83"/>
        <v>19792.099999999977</v>
      </c>
      <c r="B2649" s="72">
        <f t="shared" si="82"/>
        <v>6970</v>
      </c>
      <c r="C2649" s="70">
        <v>2648</v>
      </c>
      <c r="D2649" s="65">
        <v>6970</v>
      </c>
      <c r="F2649" s="85">
        <v>45993</v>
      </c>
      <c r="G2649" s="64" t="s">
        <v>12</v>
      </c>
      <c r="H2649"/>
      <c r="I2649"/>
    </row>
    <row r="2650" spans="1:9" x14ac:dyDescent="0.35">
      <c r="A2650" s="71">
        <f t="shared" si="83"/>
        <v>18542.099999999977</v>
      </c>
      <c r="B2650" s="72">
        <f t="shared" si="82"/>
        <v>-1250</v>
      </c>
      <c r="C2650" s="70">
        <v>2649</v>
      </c>
      <c r="E2650" s="66">
        <v>1250</v>
      </c>
      <c r="F2650" s="85">
        <v>45993</v>
      </c>
      <c r="G2650" s="64" t="s">
        <v>1315</v>
      </c>
      <c r="H2650"/>
      <c r="I2650"/>
    </row>
    <row r="2651" spans="1:9" x14ac:dyDescent="0.35">
      <c r="A2651" s="71">
        <f t="shared" si="83"/>
        <v>18522.099999999977</v>
      </c>
      <c r="B2651" s="72">
        <f t="shared" si="82"/>
        <v>-20</v>
      </c>
      <c r="C2651" s="70">
        <v>2650</v>
      </c>
      <c r="E2651" s="66">
        <v>20</v>
      </c>
      <c r="F2651" s="85">
        <v>45993</v>
      </c>
      <c r="G2651" s="64" t="s">
        <v>462</v>
      </c>
      <c r="H2651"/>
      <c r="I2651"/>
    </row>
    <row r="2652" spans="1:9" x14ac:dyDescent="0.35">
      <c r="A2652" s="71">
        <f t="shared" si="83"/>
        <v>20682.099999999977</v>
      </c>
      <c r="B2652" s="72">
        <f t="shared" si="82"/>
        <v>2160</v>
      </c>
      <c r="C2652" s="70">
        <v>2651</v>
      </c>
      <c r="D2652" s="65">
        <v>2160</v>
      </c>
      <c r="F2652" s="85">
        <v>45993</v>
      </c>
      <c r="G2652" s="64" t="s">
        <v>1468</v>
      </c>
      <c r="H2652"/>
      <c r="I2652"/>
    </row>
    <row r="2653" spans="1:9" x14ac:dyDescent="0.35">
      <c r="A2653" s="71">
        <f t="shared" si="83"/>
        <v>53062.099999999977</v>
      </c>
      <c r="B2653" s="72">
        <f t="shared" si="82"/>
        <v>32380</v>
      </c>
      <c r="C2653" s="70">
        <v>2652</v>
      </c>
      <c r="D2653" s="65">
        <v>32845</v>
      </c>
      <c r="E2653" s="66">
        <v>465</v>
      </c>
      <c r="F2653" s="85">
        <v>45993</v>
      </c>
      <c r="G2653" s="64" t="s">
        <v>1043</v>
      </c>
      <c r="H2653"/>
      <c r="I2653"/>
    </row>
    <row r="2654" spans="1:9" x14ac:dyDescent="0.35">
      <c r="A2654" s="71">
        <f t="shared" si="83"/>
        <v>52972.099999999977</v>
      </c>
      <c r="B2654" s="72">
        <f t="shared" si="82"/>
        <v>-90</v>
      </c>
      <c r="C2654" s="70">
        <v>2653</v>
      </c>
      <c r="E2654" s="66">
        <v>90</v>
      </c>
      <c r="F2654" s="85">
        <v>45993</v>
      </c>
      <c r="G2654" s="64" t="s">
        <v>437</v>
      </c>
      <c r="H2654"/>
      <c r="I2654"/>
    </row>
    <row r="2655" spans="1:9" x14ac:dyDescent="0.35">
      <c r="A2655" s="71">
        <f t="shared" si="83"/>
        <v>31772.099999999977</v>
      </c>
      <c r="B2655" s="72">
        <f t="shared" si="82"/>
        <v>-21200</v>
      </c>
      <c r="C2655" s="70">
        <v>2654</v>
      </c>
      <c r="E2655" s="66">
        <v>21200</v>
      </c>
      <c r="F2655" s="85">
        <v>45994</v>
      </c>
      <c r="G2655" s="64" t="s">
        <v>17</v>
      </c>
      <c r="H2655"/>
      <c r="I2655"/>
    </row>
    <row r="2656" spans="1:9" x14ac:dyDescent="0.35">
      <c r="A2656" s="71">
        <f t="shared" si="83"/>
        <v>30732.099999999977</v>
      </c>
      <c r="B2656" s="72">
        <f t="shared" si="82"/>
        <v>-1040</v>
      </c>
      <c r="C2656" s="70">
        <v>2655</v>
      </c>
      <c r="E2656" s="66">
        <v>1040</v>
      </c>
      <c r="F2656" s="85">
        <v>45994</v>
      </c>
      <c r="G2656" s="64" t="s">
        <v>1469</v>
      </c>
      <c r="H2656"/>
      <c r="I2656"/>
    </row>
    <row r="2657" spans="1:9" x14ac:dyDescent="0.35">
      <c r="A2657" s="71">
        <f t="shared" si="83"/>
        <v>35527.099999999977</v>
      </c>
      <c r="B2657" s="72">
        <f t="shared" si="82"/>
        <v>4795</v>
      </c>
      <c r="C2657" s="70">
        <v>2656</v>
      </c>
      <c r="D2657" s="65">
        <v>4795</v>
      </c>
      <c r="F2657" s="85">
        <v>45994</v>
      </c>
      <c r="G2657" s="64" t="s">
        <v>1238</v>
      </c>
      <c r="H2657"/>
      <c r="I2657"/>
    </row>
    <row r="2658" spans="1:9" x14ac:dyDescent="0.35">
      <c r="A2658" s="71">
        <f t="shared" si="83"/>
        <v>6277.0999999999767</v>
      </c>
      <c r="B2658" s="72">
        <f t="shared" si="82"/>
        <v>-29250</v>
      </c>
      <c r="C2658" s="70">
        <v>2657</v>
      </c>
      <c r="E2658" s="66">
        <v>29250</v>
      </c>
      <c r="F2658" s="85">
        <v>45994</v>
      </c>
      <c r="G2658" s="64" t="s">
        <v>15</v>
      </c>
      <c r="H2658"/>
      <c r="I2658"/>
    </row>
    <row r="2659" spans="1:9" x14ac:dyDescent="0.35">
      <c r="A2659" s="71">
        <f t="shared" si="83"/>
        <v>5277.0999999999767</v>
      </c>
      <c r="B2659" s="72">
        <f t="shared" si="82"/>
        <v>-1000</v>
      </c>
      <c r="C2659" s="70">
        <v>2658</v>
      </c>
      <c r="E2659" s="66">
        <v>1000</v>
      </c>
      <c r="F2659" s="85">
        <v>45995</v>
      </c>
      <c r="G2659" s="64" t="s">
        <v>1470</v>
      </c>
      <c r="H2659"/>
      <c r="I2659"/>
    </row>
    <row r="2660" spans="1:9" x14ac:dyDescent="0.35">
      <c r="A2660" s="71">
        <f t="shared" si="83"/>
        <v>5127.0999999999767</v>
      </c>
      <c r="B2660" s="72">
        <f t="shared" si="82"/>
        <v>-150</v>
      </c>
      <c r="C2660" s="70">
        <v>2659</v>
      </c>
      <c r="E2660" s="66">
        <v>150</v>
      </c>
      <c r="F2660" s="85">
        <v>45995</v>
      </c>
      <c r="G2660" s="64" t="s">
        <v>1471</v>
      </c>
      <c r="H2660"/>
      <c r="I2660"/>
    </row>
    <row r="2661" spans="1:9" x14ac:dyDescent="0.35">
      <c r="A2661" s="71">
        <f t="shared" si="83"/>
        <v>6492.0999999999767</v>
      </c>
      <c r="B2661" s="72">
        <f t="shared" si="82"/>
        <v>1365</v>
      </c>
      <c r="C2661" s="70">
        <v>2660</v>
      </c>
      <c r="D2661" s="65">
        <v>1365</v>
      </c>
      <c r="E2661" s="66">
        <v>0</v>
      </c>
      <c r="F2661" s="85">
        <v>45995</v>
      </c>
      <c r="G2661" s="64" t="s">
        <v>12</v>
      </c>
      <c r="H2661"/>
      <c r="I2661"/>
    </row>
    <row r="2662" spans="1:9" x14ac:dyDescent="0.35">
      <c r="A2662" s="71">
        <f t="shared" si="83"/>
        <v>7934.0999999999767</v>
      </c>
      <c r="B2662" s="72">
        <f t="shared" si="82"/>
        <v>1442</v>
      </c>
      <c r="C2662" s="70">
        <v>2661</v>
      </c>
      <c r="D2662" s="65">
        <v>1470</v>
      </c>
      <c r="E2662" s="66">
        <v>28</v>
      </c>
      <c r="F2662" s="85">
        <v>45998</v>
      </c>
      <c r="G2662" s="64" t="s">
        <v>99</v>
      </c>
      <c r="H2662"/>
      <c r="I2662"/>
    </row>
    <row r="2663" spans="1:9" x14ac:dyDescent="0.35">
      <c r="A2663" s="71">
        <f t="shared" si="83"/>
        <v>7754.0999999999767</v>
      </c>
      <c r="B2663" s="72">
        <f t="shared" si="82"/>
        <v>-180</v>
      </c>
      <c r="C2663" s="70">
        <v>2662</v>
      </c>
      <c r="E2663" s="66">
        <v>180</v>
      </c>
      <c r="F2663" s="85">
        <v>45998</v>
      </c>
      <c r="G2663" s="64" t="s">
        <v>400</v>
      </c>
      <c r="H2663"/>
      <c r="I2663"/>
    </row>
    <row r="2664" spans="1:9" x14ac:dyDescent="0.35">
      <c r="A2664" s="71">
        <f t="shared" si="83"/>
        <v>7664.0999999999767</v>
      </c>
      <c r="B2664" s="72">
        <f t="shared" si="82"/>
        <v>-90</v>
      </c>
      <c r="C2664" s="70">
        <v>2663</v>
      </c>
      <c r="E2664" s="66">
        <v>90</v>
      </c>
      <c r="F2664" s="85">
        <v>45998</v>
      </c>
      <c r="G2664" s="64" t="s">
        <v>437</v>
      </c>
      <c r="H2664"/>
      <c r="I2664"/>
    </row>
    <row r="2665" spans="1:9" x14ac:dyDescent="0.35">
      <c r="A2665" s="71">
        <f t="shared" si="83"/>
        <v>28069.099999999977</v>
      </c>
      <c r="B2665" s="72">
        <f t="shared" si="82"/>
        <v>20405</v>
      </c>
      <c r="C2665" s="70">
        <v>2664</v>
      </c>
      <c r="D2665" s="65">
        <v>21380</v>
      </c>
      <c r="E2665" s="66">
        <v>975</v>
      </c>
      <c r="F2665" s="85">
        <v>45999</v>
      </c>
      <c r="G2665" s="64" t="s">
        <v>1472</v>
      </c>
      <c r="H2665"/>
      <c r="I2665"/>
    </row>
    <row r="2666" spans="1:9" x14ac:dyDescent="0.35">
      <c r="A2666" s="71">
        <f t="shared" si="83"/>
        <v>28094.099999999977</v>
      </c>
      <c r="B2666" s="72">
        <f t="shared" si="82"/>
        <v>25</v>
      </c>
      <c r="C2666" s="70">
        <v>2665</v>
      </c>
      <c r="D2666" s="65">
        <v>25</v>
      </c>
      <c r="F2666" s="85">
        <v>45999</v>
      </c>
      <c r="G2666" s="64" t="s">
        <v>1473</v>
      </c>
      <c r="H2666"/>
      <c r="I2666"/>
    </row>
    <row r="2667" spans="1:9" x14ac:dyDescent="0.35">
      <c r="A2667" s="71">
        <f t="shared" si="83"/>
        <v>29729.099999999977</v>
      </c>
      <c r="B2667" s="72">
        <f t="shared" si="82"/>
        <v>1635</v>
      </c>
      <c r="C2667" s="70">
        <v>2666</v>
      </c>
      <c r="D2667" s="65">
        <v>1635</v>
      </c>
      <c r="F2667" s="85">
        <v>46000</v>
      </c>
      <c r="G2667" s="64" t="s">
        <v>410</v>
      </c>
      <c r="H2667"/>
      <c r="I2667"/>
    </row>
    <row r="2668" spans="1:9" x14ac:dyDescent="0.35">
      <c r="A2668" s="71">
        <f t="shared" si="83"/>
        <v>29639.099999999977</v>
      </c>
      <c r="B2668" s="72">
        <f t="shared" si="82"/>
        <v>-90</v>
      </c>
      <c r="C2668" s="70">
        <v>2667</v>
      </c>
      <c r="E2668" s="66">
        <v>90</v>
      </c>
      <c r="F2668" s="85">
        <v>46000</v>
      </c>
      <c r="G2668" s="64" t="s">
        <v>752</v>
      </c>
      <c r="H2668"/>
      <c r="I2668"/>
    </row>
    <row r="2669" spans="1:9" x14ac:dyDescent="0.35">
      <c r="A2669" s="71">
        <f t="shared" si="83"/>
        <v>29619.099999999977</v>
      </c>
      <c r="B2669" s="72">
        <f t="shared" si="82"/>
        <v>-20</v>
      </c>
      <c r="C2669" s="70">
        <v>2668</v>
      </c>
      <c r="E2669" s="66">
        <v>20</v>
      </c>
      <c r="F2669" s="85">
        <v>46000</v>
      </c>
      <c r="G2669" s="64" t="s">
        <v>296</v>
      </c>
      <c r="H2669"/>
      <c r="I2669"/>
    </row>
    <row r="2670" spans="1:9" x14ac:dyDescent="0.35">
      <c r="A2670" s="71">
        <f t="shared" si="83"/>
        <v>29619.099999999977</v>
      </c>
      <c r="B2670" s="72">
        <f t="shared" si="82"/>
        <v>0</v>
      </c>
      <c r="C2670" s="70">
        <v>2669</v>
      </c>
      <c r="D2670" s="65">
        <v>80</v>
      </c>
      <c r="E2670" s="66">
        <v>80</v>
      </c>
      <c r="F2670" s="85">
        <v>46000</v>
      </c>
      <c r="G2670" s="64" t="s">
        <v>1479</v>
      </c>
      <c r="H2670"/>
      <c r="I2670"/>
    </row>
    <row r="2671" spans="1:9" x14ac:dyDescent="0.35">
      <c r="A2671" s="71">
        <f t="shared" si="83"/>
        <v>46594.099999999977</v>
      </c>
      <c r="B2671" s="72">
        <f t="shared" si="82"/>
        <v>16975</v>
      </c>
      <c r="C2671" s="70">
        <v>2670</v>
      </c>
      <c r="D2671" s="65">
        <v>17090</v>
      </c>
      <c r="E2671" s="66">
        <v>115</v>
      </c>
      <c r="F2671" s="85">
        <v>46000</v>
      </c>
      <c r="G2671" s="64" t="s">
        <v>250</v>
      </c>
      <c r="H2671"/>
      <c r="I2671"/>
    </row>
    <row r="2672" spans="1:9" x14ac:dyDescent="0.35">
      <c r="A2672" s="71">
        <f t="shared" si="83"/>
        <v>46274.099999999977</v>
      </c>
      <c r="B2672" s="72">
        <f t="shared" si="82"/>
        <v>-320</v>
      </c>
      <c r="C2672" s="70">
        <v>2671</v>
      </c>
      <c r="E2672" s="66">
        <v>320</v>
      </c>
      <c r="F2672" s="85">
        <v>46000</v>
      </c>
      <c r="G2672" s="64" t="s">
        <v>75</v>
      </c>
      <c r="H2672"/>
      <c r="I2672"/>
    </row>
    <row r="2673" spans="1:9" x14ac:dyDescent="0.35">
      <c r="A2673" s="71">
        <f t="shared" si="83"/>
        <v>31874.099999999977</v>
      </c>
      <c r="B2673" s="72">
        <f t="shared" si="82"/>
        <v>-14400</v>
      </c>
      <c r="C2673" s="70">
        <v>2672</v>
      </c>
      <c r="E2673" s="66">
        <v>14400</v>
      </c>
      <c r="F2673" s="85">
        <v>46001</v>
      </c>
      <c r="H2673"/>
      <c r="I2673"/>
    </row>
    <row r="2674" spans="1:9" x14ac:dyDescent="0.35">
      <c r="A2674" s="71">
        <f t="shared" si="83"/>
        <v>-840.90000000002328</v>
      </c>
      <c r="B2674" s="72">
        <f t="shared" si="82"/>
        <v>-32715</v>
      </c>
      <c r="C2674" s="70">
        <v>2673</v>
      </c>
      <c r="E2674" s="66">
        <v>32715</v>
      </c>
      <c r="F2674" s="85">
        <v>46001</v>
      </c>
      <c r="G2674" s="64" t="s">
        <v>1475</v>
      </c>
      <c r="H2674"/>
      <c r="I2674"/>
    </row>
    <row r="2675" spans="1:9" x14ac:dyDescent="0.35">
      <c r="A2675" s="71">
        <f t="shared" si="83"/>
        <v>-1340.9000000000233</v>
      </c>
      <c r="B2675" s="72">
        <f t="shared" si="82"/>
        <v>-500</v>
      </c>
      <c r="C2675" s="70">
        <v>2674</v>
      </c>
      <c r="E2675" s="66">
        <v>500</v>
      </c>
      <c r="F2675" s="85">
        <v>46001</v>
      </c>
      <c r="G2675" s="64" t="s">
        <v>1480</v>
      </c>
      <c r="H2675"/>
      <c r="I2675"/>
    </row>
    <row r="2676" spans="1:9" x14ac:dyDescent="0.35">
      <c r="A2676" s="71">
        <f t="shared" si="83"/>
        <v>-3640.9000000000233</v>
      </c>
      <c r="B2676" s="72">
        <f t="shared" si="82"/>
        <v>-2300</v>
      </c>
      <c r="C2676" s="70">
        <v>2675</v>
      </c>
      <c r="E2676" s="66">
        <v>2300</v>
      </c>
      <c r="F2676" s="85">
        <v>46001</v>
      </c>
      <c r="G2676" s="64" t="s">
        <v>1078</v>
      </c>
      <c r="H2676"/>
      <c r="I2676"/>
    </row>
    <row r="2677" spans="1:9" x14ac:dyDescent="0.35">
      <c r="A2677" s="71">
        <f t="shared" si="83"/>
        <v>-4900.9000000000233</v>
      </c>
      <c r="B2677" s="72">
        <f t="shared" si="82"/>
        <v>-1260</v>
      </c>
      <c r="C2677" s="70">
        <v>2676</v>
      </c>
      <c r="E2677" s="66">
        <v>1260</v>
      </c>
      <c r="F2677" s="85">
        <v>46001</v>
      </c>
      <c r="G2677" s="64" t="s">
        <v>252</v>
      </c>
      <c r="H2677"/>
      <c r="I2677"/>
    </row>
    <row r="2678" spans="1:9" x14ac:dyDescent="0.35">
      <c r="A2678" s="71">
        <f t="shared" si="83"/>
        <v>-1120.9000000000233</v>
      </c>
      <c r="B2678" s="72">
        <f t="shared" si="82"/>
        <v>3780</v>
      </c>
      <c r="C2678" s="70">
        <v>2677</v>
      </c>
      <c r="D2678" s="65">
        <v>3870</v>
      </c>
      <c r="E2678" s="66">
        <v>90</v>
      </c>
      <c r="F2678" s="85">
        <v>46001</v>
      </c>
      <c r="G2678" s="64" t="s">
        <v>400</v>
      </c>
      <c r="H2678"/>
      <c r="I2678"/>
    </row>
    <row r="2679" spans="1:9" x14ac:dyDescent="0.35">
      <c r="A2679" s="71">
        <f t="shared" si="83"/>
        <v>-1270.9000000000233</v>
      </c>
      <c r="B2679" s="72">
        <f t="shared" si="82"/>
        <v>-150</v>
      </c>
      <c r="C2679" s="70">
        <v>2678</v>
      </c>
      <c r="E2679" s="66">
        <v>150</v>
      </c>
      <c r="F2679" s="85">
        <v>46001</v>
      </c>
      <c r="G2679" s="64" t="s">
        <v>33</v>
      </c>
      <c r="H2679"/>
      <c r="I2679"/>
    </row>
    <row r="2680" spans="1:9" x14ac:dyDescent="0.35">
      <c r="A2680" s="71">
        <f t="shared" si="83"/>
        <v>619.09999999997672</v>
      </c>
      <c r="B2680" s="72">
        <f t="shared" si="82"/>
        <v>1890</v>
      </c>
      <c r="C2680" s="70">
        <v>2679</v>
      </c>
      <c r="D2680" s="65">
        <v>2165</v>
      </c>
      <c r="E2680" s="66">
        <v>275</v>
      </c>
      <c r="F2680" s="85">
        <v>46002</v>
      </c>
      <c r="G2680" s="64" t="s">
        <v>50</v>
      </c>
      <c r="H2680"/>
      <c r="I2680"/>
    </row>
    <row r="2681" spans="1:9" x14ac:dyDescent="0.35">
      <c r="A2681" s="71">
        <f t="shared" si="83"/>
        <v>379.09999999997672</v>
      </c>
      <c r="B2681" s="72">
        <f t="shared" si="82"/>
        <v>-240</v>
      </c>
      <c r="C2681" s="70">
        <v>2680</v>
      </c>
      <c r="E2681" s="66">
        <v>240</v>
      </c>
      <c r="F2681" s="85">
        <v>46002</v>
      </c>
      <c r="G2681" s="64" t="s">
        <v>783</v>
      </c>
      <c r="H2681"/>
      <c r="I2681"/>
    </row>
    <row r="2682" spans="1:9" x14ac:dyDescent="0.35">
      <c r="A2682" s="71">
        <f t="shared" si="83"/>
        <v>289.09999999997672</v>
      </c>
      <c r="B2682" s="72">
        <f t="shared" si="82"/>
        <v>-90</v>
      </c>
      <c r="C2682" s="70">
        <v>2681</v>
      </c>
      <c r="E2682" s="66">
        <v>90</v>
      </c>
      <c r="F2682" s="85">
        <v>46002</v>
      </c>
      <c r="G2682" s="64" t="s">
        <v>400</v>
      </c>
      <c r="H2682"/>
      <c r="I2682"/>
    </row>
    <row r="2683" spans="1:9" x14ac:dyDescent="0.35">
      <c r="A2683" s="71">
        <f t="shared" si="83"/>
        <v>1394.0999999999767</v>
      </c>
      <c r="B2683" s="72">
        <f t="shared" si="82"/>
        <v>1105</v>
      </c>
      <c r="C2683" s="70">
        <v>2682</v>
      </c>
      <c r="D2683" s="65">
        <v>1195</v>
      </c>
      <c r="E2683" s="66">
        <v>90</v>
      </c>
      <c r="F2683" s="85">
        <v>46004</v>
      </c>
      <c r="G2683" s="64" t="s">
        <v>437</v>
      </c>
      <c r="H2683"/>
      <c r="I2683"/>
    </row>
    <row r="2684" spans="1:9" x14ac:dyDescent="0.35">
      <c r="A2684" s="71">
        <f t="shared" si="83"/>
        <v>1384.0999999999767</v>
      </c>
      <c r="B2684" s="72">
        <f t="shared" si="82"/>
        <v>-10</v>
      </c>
      <c r="C2684" s="70">
        <v>2683</v>
      </c>
      <c r="E2684" s="66">
        <v>10</v>
      </c>
      <c r="F2684" s="85">
        <v>46004</v>
      </c>
      <c r="G2684" s="64" t="s">
        <v>466</v>
      </c>
      <c r="H2684"/>
      <c r="I2684"/>
    </row>
    <row r="2685" spans="1:9" x14ac:dyDescent="0.35">
      <c r="A2685" s="71">
        <f t="shared" si="83"/>
        <v>1379.0999999999767</v>
      </c>
      <c r="B2685" s="72">
        <f t="shared" si="82"/>
        <v>-5</v>
      </c>
      <c r="C2685" s="70">
        <v>2684</v>
      </c>
      <c r="E2685" s="66">
        <v>5</v>
      </c>
      <c r="F2685" s="85">
        <v>46004</v>
      </c>
      <c r="G2685" s="64" t="s">
        <v>3</v>
      </c>
      <c r="H2685"/>
      <c r="I2685"/>
    </row>
    <row r="2686" spans="1:9" x14ac:dyDescent="0.35">
      <c r="A2686" s="71">
        <f t="shared" si="83"/>
        <v>-620.90000000002328</v>
      </c>
      <c r="B2686" s="72">
        <f t="shared" si="82"/>
        <v>-2000</v>
      </c>
      <c r="C2686" s="70">
        <v>2685</v>
      </c>
      <c r="E2686" s="66">
        <v>2000</v>
      </c>
      <c r="F2686" s="85">
        <v>46004</v>
      </c>
      <c r="G2686" s="64" t="s">
        <v>120</v>
      </c>
      <c r="H2686"/>
      <c r="I2686"/>
    </row>
    <row r="2687" spans="1:9" x14ac:dyDescent="0.35">
      <c r="A2687" s="71">
        <f t="shared" si="83"/>
        <v>3929.0999999999767</v>
      </c>
      <c r="B2687" s="72">
        <f t="shared" si="82"/>
        <v>4550</v>
      </c>
      <c r="C2687" s="70">
        <v>2686</v>
      </c>
      <c r="D2687" s="65">
        <v>10550</v>
      </c>
      <c r="E2687" s="66">
        <v>6000</v>
      </c>
      <c r="F2687" s="85">
        <v>46005</v>
      </c>
      <c r="G2687" s="64" t="s">
        <v>1484</v>
      </c>
      <c r="H2687"/>
      <c r="I2687"/>
    </row>
    <row r="2688" spans="1:9" x14ac:dyDescent="0.35">
      <c r="A2688" s="71">
        <f t="shared" si="83"/>
        <v>3929.0999999999767</v>
      </c>
      <c r="B2688" s="72">
        <f t="shared" si="82"/>
        <v>0</v>
      </c>
      <c r="C2688" s="70">
        <v>2687</v>
      </c>
      <c r="D2688" s="65">
        <v>500</v>
      </c>
      <c r="E2688" s="66">
        <v>500</v>
      </c>
      <c r="F2688" s="85">
        <v>46005</v>
      </c>
      <c r="G2688" s="64" t="s">
        <v>1082</v>
      </c>
      <c r="H2688"/>
      <c r="I2688"/>
    </row>
    <row r="2689" spans="1:9" x14ac:dyDescent="0.35">
      <c r="A2689" s="71">
        <f t="shared" si="83"/>
        <v>3839.0999999999767</v>
      </c>
      <c r="B2689" s="72">
        <f t="shared" si="82"/>
        <v>-90</v>
      </c>
      <c r="C2689" s="70">
        <v>2688</v>
      </c>
      <c r="E2689" s="66">
        <v>90</v>
      </c>
      <c r="F2689" s="85">
        <v>46005</v>
      </c>
      <c r="G2689" s="64" t="s">
        <v>752</v>
      </c>
      <c r="H2689"/>
      <c r="I2689"/>
    </row>
    <row r="2690" spans="1:9" x14ac:dyDescent="0.35">
      <c r="A2690" s="71">
        <f t="shared" si="83"/>
        <v>10794.099999999977</v>
      </c>
      <c r="B2690" s="72">
        <f t="shared" si="82"/>
        <v>6955</v>
      </c>
      <c r="C2690" s="70">
        <v>2689</v>
      </c>
      <c r="D2690" s="65">
        <v>7110</v>
      </c>
      <c r="E2690" s="66">
        <v>155</v>
      </c>
      <c r="F2690" s="85">
        <v>46006</v>
      </c>
      <c r="G2690" s="64" t="s">
        <v>1485</v>
      </c>
      <c r="H2690"/>
      <c r="I2690"/>
    </row>
    <row r="2691" spans="1:9" x14ac:dyDescent="0.35">
      <c r="A2691" s="71">
        <f t="shared" si="83"/>
        <v>8914.0999999999767</v>
      </c>
      <c r="B2691" s="72">
        <f t="shared" ref="B2691:B2754" si="84">SUM(D2691-E2691)</f>
        <v>-1880</v>
      </c>
      <c r="C2691" s="70">
        <v>2690</v>
      </c>
      <c r="E2691" s="66">
        <v>1880</v>
      </c>
      <c r="F2691" s="85">
        <v>46006</v>
      </c>
      <c r="G2691" s="64" t="s">
        <v>244</v>
      </c>
      <c r="H2691"/>
      <c r="I2691"/>
    </row>
    <row r="2692" spans="1:9" x14ac:dyDescent="0.35">
      <c r="A2692" s="71">
        <f t="shared" ref="A2692:A2755" si="85">SUM(A2691+B2692)</f>
        <v>8594.0999999999767</v>
      </c>
      <c r="B2692" s="72">
        <f t="shared" si="84"/>
        <v>-320</v>
      </c>
      <c r="C2692" s="70">
        <v>2691</v>
      </c>
      <c r="E2692" s="66">
        <v>320</v>
      </c>
      <c r="F2692" s="85">
        <v>46006</v>
      </c>
      <c r="G2692" s="64" t="s">
        <v>75</v>
      </c>
      <c r="H2692"/>
      <c r="I2692"/>
    </row>
    <row r="2693" spans="1:9" x14ac:dyDescent="0.35">
      <c r="A2693" s="71">
        <f t="shared" si="85"/>
        <v>8574.0999999999767</v>
      </c>
      <c r="B2693" s="72">
        <f t="shared" si="84"/>
        <v>-20</v>
      </c>
      <c r="C2693" s="70">
        <v>2692</v>
      </c>
      <c r="E2693" s="66">
        <v>20</v>
      </c>
      <c r="F2693" s="85">
        <v>46006</v>
      </c>
      <c r="G2693" s="64" t="s">
        <v>296</v>
      </c>
      <c r="H2693"/>
      <c r="I2693"/>
    </row>
    <row r="2694" spans="1:9" x14ac:dyDescent="0.35">
      <c r="A2694" s="71">
        <f t="shared" si="85"/>
        <v>32384.099999999977</v>
      </c>
      <c r="B2694" s="72">
        <f t="shared" si="84"/>
        <v>23810</v>
      </c>
      <c r="C2694" s="70">
        <v>2693</v>
      </c>
      <c r="D2694" s="65">
        <v>23900</v>
      </c>
      <c r="E2694" s="66">
        <v>90</v>
      </c>
      <c r="F2694" s="85">
        <v>46007</v>
      </c>
      <c r="G2694" s="64" t="s">
        <v>400</v>
      </c>
      <c r="H2694"/>
      <c r="I2694"/>
    </row>
    <row r="2695" spans="1:9" x14ac:dyDescent="0.35">
      <c r="A2695" s="71">
        <f t="shared" si="85"/>
        <v>19884.099999999977</v>
      </c>
      <c r="B2695" s="72">
        <f t="shared" si="84"/>
        <v>-12500</v>
      </c>
      <c r="C2695" s="70">
        <v>2694</v>
      </c>
      <c r="E2695" s="66">
        <v>12500</v>
      </c>
      <c r="F2695" s="85">
        <v>46007</v>
      </c>
      <c r="G2695" s="64" t="s">
        <v>1488</v>
      </c>
      <c r="H2695"/>
      <c r="I2695"/>
    </row>
    <row r="2696" spans="1:9" x14ac:dyDescent="0.35">
      <c r="A2696" s="71">
        <f t="shared" si="85"/>
        <v>19869.099999999977</v>
      </c>
      <c r="B2696" s="72">
        <f t="shared" si="84"/>
        <v>-15</v>
      </c>
      <c r="C2696" s="70">
        <v>2695</v>
      </c>
      <c r="E2696" s="66">
        <v>15</v>
      </c>
      <c r="F2696" s="85">
        <v>46007</v>
      </c>
      <c r="G2696" s="64" t="s">
        <v>1486</v>
      </c>
      <c r="H2696"/>
      <c r="I2696"/>
    </row>
    <row r="2697" spans="1:9" x14ac:dyDescent="0.35">
      <c r="A2697" s="71">
        <f t="shared" si="85"/>
        <v>19844.099999999977</v>
      </c>
      <c r="B2697" s="72">
        <f t="shared" si="84"/>
        <v>-25</v>
      </c>
      <c r="C2697" s="70">
        <v>2696</v>
      </c>
      <c r="E2697" s="66">
        <v>25</v>
      </c>
      <c r="F2697" s="85">
        <v>46007</v>
      </c>
      <c r="G2697" s="64" t="s">
        <v>1487</v>
      </c>
      <c r="H2697"/>
      <c r="I2697"/>
    </row>
    <row r="2698" spans="1:9" x14ac:dyDescent="0.35">
      <c r="A2698" s="71">
        <f t="shared" si="85"/>
        <v>19689.099999999977</v>
      </c>
      <c r="B2698" s="72">
        <f t="shared" si="84"/>
        <v>-155</v>
      </c>
      <c r="C2698" s="70">
        <v>2697</v>
      </c>
      <c r="E2698" s="66">
        <v>155</v>
      </c>
      <c r="F2698" s="85">
        <v>46007</v>
      </c>
      <c r="G2698" s="64" t="s">
        <v>961</v>
      </c>
      <c r="H2698"/>
      <c r="I2698"/>
    </row>
    <row r="2699" spans="1:9" x14ac:dyDescent="0.35">
      <c r="A2699" s="71">
        <f t="shared" si="85"/>
        <v>19519.099999999977</v>
      </c>
      <c r="B2699" s="72">
        <f t="shared" si="84"/>
        <v>-170</v>
      </c>
      <c r="C2699" s="70">
        <v>2698</v>
      </c>
      <c r="E2699" s="66">
        <v>170</v>
      </c>
      <c r="F2699" s="85">
        <v>46007</v>
      </c>
      <c r="G2699" s="64" t="s">
        <v>1489</v>
      </c>
      <c r="H2699"/>
      <c r="I2699"/>
    </row>
    <row r="2700" spans="1:9" x14ac:dyDescent="0.35">
      <c r="A2700" s="71">
        <f t="shared" si="85"/>
        <v>22349.099999999977</v>
      </c>
      <c r="B2700" s="72">
        <f t="shared" si="84"/>
        <v>2830</v>
      </c>
      <c r="C2700" s="70">
        <v>2699</v>
      </c>
      <c r="D2700" s="65">
        <v>2990</v>
      </c>
      <c r="E2700" s="66">
        <v>160</v>
      </c>
      <c r="F2700" s="85">
        <v>46008</v>
      </c>
      <c r="G2700" s="64" t="s">
        <v>1490</v>
      </c>
      <c r="H2700"/>
      <c r="I2700"/>
    </row>
    <row r="2701" spans="1:9" x14ac:dyDescent="0.35">
      <c r="A2701" s="71">
        <f t="shared" si="85"/>
        <v>21349.099999999977</v>
      </c>
      <c r="B2701" s="72">
        <f t="shared" si="84"/>
        <v>-1000</v>
      </c>
      <c r="C2701" s="70">
        <v>2700</v>
      </c>
      <c r="E2701" s="66">
        <v>1000</v>
      </c>
      <c r="F2701" s="85">
        <v>46008</v>
      </c>
      <c r="G2701" s="64" t="s">
        <v>1491</v>
      </c>
      <c r="H2701"/>
      <c r="I2701"/>
    </row>
    <row r="2702" spans="1:9" x14ac:dyDescent="0.35">
      <c r="A2702" s="71">
        <f t="shared" si="85"/>
        <v>20749.099999999977</v>
      </c>
      <c r="B2702" s="72">
        <f t="shared" si="84"/>
        <v>-600</v>
      </c>
      <c r="C2702" s="70">
        <v>2701</v>
      </c>
      <c r="E2702" s="66">
        <v>600</v>
      </c>
      <c r="F2702" s="85">
        <v>46008</v>
      </c>
      <c r="G2702" s="64" t="s">
        <v>1492</v>
      </c>
      <c r="H2702"/>
      <c r="I2702"/>
    </row>
    <row r="2703" spans="1:9" x14ac:dyDescent="0.35">
      <c r="A2703" s="71">
        <f t="shared" si="85"/>
        <v>20659.099999999977</v>
      </c>
      <c r="B2703" s="72">
        <f t="shared" si="84"/>
        <v>-90</v>
      </c>
      <c r="C2703" s="70">
        <v>2702</v>
      </c>
      <c r="E2703" s="66">
        <v>90</v>
      </c>
      <c r="F2703" s="85">
        <v>46008</v>
      </c>
      <c r="G2703" s="64" t="s">
        <v>752</v>
      </c>
      <c r="H2703"/>
      <c r="I2703"/>
    </row>
    <row r="2704" spans="1:9" x14ac:dyDescent="0.35">
      <c r="A2704" s="71">
        <f t="shared" si="85"/>
        <v>22689.099999999977</v>
      </c>
      <c r="B2704" s="72">
        <f t="shared" si="84"/>
        <v>2030</v>
      </c>
      <c r="C2704" s="70">
        <v>2703</v>
      </c>
      <c r="D2704" s="65">
        <v>2120</v>
      </c>
      <c r="E2704" s="66">
        <v>90</v>
      </c>
      <c r="F2704" s="85">
        <v>46009</v>
      </c>
      <c r="G2704" s="64" t="s">
        <v>400</v>
      </c>
      <c r="H2704"/>
      <c r="I2704"/>
    </row>
    <row r="2705" spans="1:9" x14ac:dyDescent="0.35">
      <c r="A2705" s="71">
        <f t="shared" si="85"/>
        <v>22689.099999999977</v>
      </c>
      <c r="B2705" s="72">
        <f t="shared" si="84"/>
        <v>0</v>
      </c>
      <c r="C2705" s="70">
        <v>2704</v>
      </c>
      <c r="D2705" s="65">
        <v>100</v>
      </c>
      <c r="E2705" s="66">
        <v>100</v>
      </c>
      <c r="F2705" s="85">
        <v>46009</v>
      </c>
      <c r="G2705" s="64" t="s">
        <v>1496</v>
      </c>
      <c r="H2705"/>
      <c r="I2705"/>
    </row>
    <row r="2706" spans="1:9" x14ac:dyDescent="0.35">
      <c r="A2706" s="71">
        <f t="shared" si="85"/>
        <v>24224.099999999977</v>
      </c>
      <c r="B2706" s="72">
        <f t="shared" si="84"/>
        <v>1535</v>
      </c>
      <c r="C2706" s="70">
        <v>2705</v>
      </c>
      <c r="D2706" s="65">
        <v>1715</v>
      </c>
      <c r="E2706" s="66">
        <v>180</v>
      </c>
      <c r="F2706" s="85">
        <v>46011</v>
      </c>
      <c r="G2706" s="64" t="s">
        <v>752</v>
      </c>
      <c r="H2706"/>
      <c r="I2706"/>
    </row>
    <row r="2707" spans="1:9" x14ac:dyDescent="0.35">
      <c r="A2707" s="71">
        <f t="shared" si="85"/>
        <v>23974.099999999977</v>
      </c>
      <c r="B2707" s="72">
        <f t="shared" si="84"/>
        <v>-250</v>
      </c>
      <c r="C2707" s="70">
        <v>2706</v>
      </c>
      <c r="E2707" s="66">
        <v>250</v>
      </c>
      <c r="F2707" s="85">
        <v>46011</v>
      </c>
      <c r="G2707" s="64" t="s">
        <v>1493</v>
      </c>
      <c r="H2707"/>
      <c r="I2707"/>
    </row>
    <row r="2708" spans="1:9" x14ac:dyDescent="0.35">
      <c r="A2708" s="71">
        <f t="shared" si="85"/>
        <v>23819.099999999977</v>
      </c>
      <c r="B2708" s="72">
        <f t="shared" si="84"/>
        <v>-155</v>
      </c>
      <c r="C2708" s="70">
        <v>2707</v>
      </c>
      <c r="E2708" s="66">
        <v>155</v>
      </c>
      <c r="F2708" s="85">
        <v>46012</v>
      </c>
      <c r="G2708" s="64" t="s">
        <v>1497</v>
      </c>
      <c r="H2708"/>
      <c r="I2708"/>
    </row>
    <row r="2709" spans="1:9" x14ac:dyDescent="0.35">
      <c r="A2709" s="71">
        <f t="shared" si="85"/>
        <v>56949.099999999977</v>
      </c>
      <c r="B2709" s="72">
        <f t="shared" si="84"/>
        <v>33130</v>
      </c>
      <c r="C2709" s="70">
        <v>2708</v>
      </c>
      <c r="D2709" s="65">
        <v>33220</v>
      </c>
      <c r="E2709" s="66">
        <v>90</v>
      </c>
      <c r="F2709" s="85">
        <v>46012</v>
      </c>
      <c r="G2709" s="64" t="s">
        <v>437</v>
      </c>
      <c r="H2709"/>
      <c r="I2709"/>
    </row>
    <row r="2710" spans="1:9" x14ac:dyDescent="0.35">
      <c r="A2710" s="71">
        <f t="shared" si="85"/>
        <v>56949.099999999977</v>
      </c>
      <c r="B2710" s="72">
        <f t="shared" si="84"/>
        <v>0</v>
      </c>
      <c r="C2710" s="70">
        <v>2709</v>
      </c>
      <c r="D2710" s="65">
        <v>500</v>
      </c>
      <c r="E2710" s="66">
        <v>500</v>
      </c>
      <c r="F2710" s="85">
        <v>46012</v>
      </c>
      <c r="G2710" s="64" t="s">
        <v>1494</v>
      </c>
      <c r="H2710"/>
      <c r="I2710"/>
    </row>
    <row r="2711" spans="1:9" x14ac:dyDescent="0.35">
      <c r="A2711" s="71">
        <f t="shared" si="85"/>
        <v>55949.099999999977</v>
      </c>
      <c r="B2711" s="72">
        <f t="shared" si="84"/>
        <v>-1000</v>
      </c>
      <c r="C2711" s="70">
        <v>2710</v>
      </c>
      <c r="E2711" s="66">
        <v>1000</v>
      </c>
      <c r="F2711" s="85">
        <v>46012</v>
      </c>
      <c r="G2711" s="64" t="s">
        <v>64</v>
      </c>
      <c r="H2711"/>
      <c r="I2711"/>
    </row>
    <row r="2712" spans="1:9" x14ac:dyDescent="0.35">
      <c r="A2712" s="71">
        <f t="shared" si="85"/>
        <v>54849.099999999977</v>
      </c>
      <c r="B2712" s="72">
        <f t="shared" si="84"/>
        <v>-1100</v>
      </c>
      <c r="C2712" s="70">
        <v>2711</v>
      </c>
      <c r="E2712" s="66">
        <v>1100</v>
      </c>
      <c r="F2712" s="85">
        <v>46012</v>
      </c>
      <c r="G2712" s="64" t="s">
        <v>1495</v>
      </c>
      <c r="H2712"/>
      <c r="I2712"/>
    </row>
    <row r="2713" spans="1:9" x14ac:dyDescent="0.35">
      <c r="A2713" s="71">
        <f t="shared" si="85"/>
        <v>54794.099999999977</v>
      </c>
      <c r="B2713" s="72">
        <f t="shared" si="84"/>
        <v>-55</v>
      </c>
      <c r="C2713" s="70">
        <v>2712</v>
      </c>
      <c r="E2713" s="66">
        <v>55</v>
      </c>
      <c r="F2713" s="85">
        <v>46012</v>
      </c>
      <c r="G2713" s="64" t="s">
        <v>131</v>
      </c>
      <c r="H2713"/>
      <c r="I2713"/>
    </row>
    <row r="2714" spans="1:9" x14ac:dyDescent="0.35">
      <c r="A2714" s="71">
        <f t="shared" si="85"/>
        <v>54744.099999999977</v>
      </c>
      <c r="B2714" s="72">
        <f t="shared" si="84"/>
        <v>-50</v>
      </c>
      <c r="C2714" s="70">
        <v>2713</v>
      </c>
      <c r="E2714" s="66">
        <v>50</v>
      </c>
      <c r="F2714" s="85">
        <v>46012</v>
      </c>
      <c r="G2714" s="64" t="s">
        <v>1498</v>
      </c>
      <c r="H2714"/>
      <c r="I2714"/>
    </row>
    <row r="2715" spans="1:9" x14ac:dyDescent="0.35">
      <c r="A2715" s="71">
        <f t="shared" si="85"/>
        <v>54444.099999999977</v>
      </c>
      <c r="B2715" s="72">
        <f t="shared" si="84"/>
        <v>-300</v>
      </c>
      <c r="C2715" s="70">
        <v>2714</v>
      </c>
      <c r="E2715" s="66">
        <v>300</v>
      </c>
      <c r="F2715" s="85">
        <v>46013</v>
      </c>
      <c r="G2715" s="64" t="s">
        <v>1499</v>
      </c>
      <c r="H2715"/>
      <c r="I2715"/>
    </row>
    <row r="2716" spans="1:9" x14ac:dyDescent="0.35">
      <c r="A2716" s="71">
        <f t="shared" si="85"/>
        <v>29444.099999999977</v>
      </c>
      <c r="B2716" s="72">
        <f t="shared" si="84"/>
        <v>-25000</v>
      </c>
      <c r="C2716" s="70">
        <v>2715</v>
      </c>
      <c r="E2716" s="66">
        <v>25000</v>
      </c>
      <c r="F2716" s="85">
        <v>46013</v>
      </c>
      <c r="G2716" s="64" t="s">
        <v>1500</v>
      </c>
      <c r="H2716"/>
      <c r="I2716"/>
    </row>
    <row r="2717" spans="1:9" x14ac:dyDescent="0.35">
      <c r="A2717" s="71">
        <f t="shared" si="85"/>
        <v>29289.099999999977</v>
      </c>
      <c r="B2717" s="72">
        <f t="shared" si="84"/>
        <v>-155</v>
      </c>
      <c r="C2717" s="70">
        <v>2716</v>
      </c>
      <c r="E2717" s="66">
        <v>155</v>
      </c>
      <c r="F2717" s="85">
        <v>46013</v>
      </c>
      <c r="G2717" s="64" t="s">
        <v>961</v>
      </c>
      <c r="H2717"/>
      <c r="I2717"/>
    </row>
    <row r="2718" spans="1:9" x14ac:dyDescent="0.35">
      <c r="A2718" s="71">
        <f t="shared" si="85"/>
        <v>44194.099999999977</v>
      </c>
      <c r="B2718" s="72">
        <f t="shared" si="84"/>
        <v>14905</v>
      </c>
      <c r="C2718" s="70">
        <v>2717</v>
      </c>
      <c r="D2718" s="65">
        <v>15085</v>
      </c>
      <c r="E2718" s="66">
        <v>180</v>
      </c>
      <c r="F2718" s="85">
        <v>46013</v>
      </c>
      <c r="G2718" s="64" t="s">
        <v>437</v>
      </c>
      <c r="H2718"/>
      <c r="I2718"/>
    </row>
    <row r="2719" spans="1:9" x14ac:dyDescent="0.35">
      <c r="A2719" s="71">
        <f t="shared" si="85"/>
        <v>44139.099999999977</v>
      </c>
      <c r="B2719" s="72">
        <f t="shared" si="84"/>
        <v>-55</v>
      </c>
      <c r="C2719" s="70">
        <v>2718</v>
      </c>
      <c r="E2719" s="66">
        <v>55</v>
      </c>
      <c r="F2719" s="85">
        <v>46013</v>
      </c>
      <c r="G2719" s="64" t="s">
        <v>36</v>
      </c>
      <c r="H2719"/>
      <c r="I2719"/>
    </row>
    <row r="2720" spans="1:9" x14ac:dyDescent="0.35">
      <c r="A2720" s="71">
        <f t="shared" si="85"/>
        <v>54484.099999999977</v>
      </c>
      <c r="B2720" s="72">
        <f t="shared" si="84"/>
        <v>10345</v>
      </c>
      <c r="C2720" s="70">
        <v>2719</v>
      </c>
      <c r="D2720" s="65">
        <v>10345</v>
      </c>
      <c r="F2720" s="85">
        <v>46014</v>
      </c>
      <c r="G2720" s="64" t="s">
        <v>410</v>
      </c>
      <c r="H2720"/>
      <c r="I2720"/>
    </row>
    <row r="2721" spans="1:9" x14ac:dyDescent="0.35">
      <c r="A2721" s="71">
        <f t="shared" si="85"/>
        <v>53284.099999999977</v>
      </c>
      <c r="B2721" s="72">
        <f t="shared" si="84"/>
        <v>-1200</v>
      </c>
      <c r="C2721" s="70">
        <v>2720</v>
      </c>
      <c r="E2721" s="66">
        <v>1200</v>
      </c>
      <c r="F2721" s="85">
        <v>46014</v>
      </c>
      <c r="G2721" s="64" t="s">
        <v>120</v>
      </c>
      <c r="H2721"/>
      <c r="I2721"/>
    </row>
    <row r="2722" spans="1:9" x14ac:dyDescent="0.35">
      <c r="A2722" s="71">
        <f t="shared" si="85"/>
        <v>58484.099999999977</v>
      </c>
      <c r="B2722" s="72">
        <f t="shared" si="84"/>
        <v>5200</v>
      </c>
      <c r="C2722" s="70">
        <v>2721</v>
      </c>
      <c r="D2722" s="65">
        <v>7000</v>
      </c>
      <c r="E2722" s="66">
        <v>1800</v>
      </c>
      <c r="F2722" s="85">
        <v>46015</v>
      </c>
      <c r="G2722" s="64" t="s">
        <v>1503</v>
      </c>
      <c r="H2722"/>
      <c r="I2722"/>
    </row>
    <row r="2723" spans="1:9" x14ac:dyDescent="0.35">
      <c r="A2723" s="71">
        <f t="shared" si="85"/>
        <v>54284.099999999977</v>
      </c>
      <c r="B2723" s="72">
        <f t="shared" si="84"/>
        <v>-4200</v>
      </c>
      <c r="C2723" s="70">
        <v>2722</v>
      </c>
      <c r="E2723" s="66">
        <v>4200</v>
      </c>
      <c r="F2723" s="85">
        <v>46015</v>
      </c>
      <c r="G2723" s="64" t="s">
        <v>1509</v>
      </c>
      <c r="H2723"/>
      <c r="I2723"/>
    </row>
    <row r="2724" spans="1:9" x14ac:dyDescent="0.35">
      <c r="A2724" s="71">
        <f t="shared" si="85"/>
        <v>34284.099999999977</v>
      </c>
      <c r="B2724" s="72">
        <f t="shared" si="84"/>
        <v>-20000</v>
      </c>
      <c r="C2724" s="70">
        <v>2723</v>
      </c>
      <c r="E2724" s="66">
        <v>20000</v>
      </c>
      <c r="F2724" s="85">
        <v>46015</v>
      </c>
      <c r="G2724" s="64" t="s">
        <v>1501</v>
      </c>
      <c r="H2724"/>
      <c r="I2724"/>
    </row>
    <row r="2725" spans="1:9" x14ac:dyDescent="0.35">
      <c r="A2725" s="71">
        <f t="shared" si="85"/>
        <v>31284.099999999977</v>
      </c>
      <c r="B2725" s="72">
        <f t="shared" si="84"/>
        <v>-3000</v>
      </c>
      <c r="C2725" s="70">
        <v>2724</v>
      </c>
      <c r="E2725" s="66">
        <v>3000</v>
      </c>
      <c r="F2725" s="85">
        <v>46015</v>
      </c>
      <c r="G2725" s="64" t="s">
        <v>1502</v>
      </c>
      <c r="H2725"/>
      <c r="I2725"/>
    </row>
    <row r="2726" spans="1:9" x14ac:dyDescent="0.35">
      <c r="A2726" s="71">
        <f t="shared" si="85"/>
        <v>33299.099999999977</v>
      </c>
      <c r="B2726" s="72">
        <f t="shared" si="84"/>
        <v>2015</v>
      </c>
      <c r="C2726" s="70">
        <v>2725</v>
      </c>
      <c r="D2726" s="65">
        <v>2105</v>
      </c>
      <c r="E2726" s="66">
        <v>90</v>
      </c>
      <c r="F2726" s="85">
        <v>46016</v>
      </c>
      <c r="G2726" s="64" t="s">
        <v>752</v>
      </c>
      <c r="H2726"/>
      <c r="I2726"/>
    </row>
    <row r="2727" spans="1:9" x14ac:dyDescent="0.35">
      <c r="A2727" s="71">
        <f t="shared" si="85"/>
        <v>35384.099999999977</v>
      </c>
      <c r="B2727" s="72">
        <f t="shared" si="84"/>
        <v>2085</v>
      </c>
      <c r="C2727" s="70">
        <v>2726</v>
      </c>
      <c r="D2727" s="65">
        <v>2265</v>
      </c>
      <c r="E2727" s="66">
        <v>180</v>
      </c>
      <c r="F2727" s="85">
        <v>46018</v>
      </c>
      <c r="G2727" s="64" t="s">
        <v>437</v>
      </c>
      <c r="H2727"/>
      <c r="I2727"/>
    </row>
    <row r="2728" spans="1:9" x14ac:dyDescent="0.35">
      <c r="A2728" s="71">
        <f t="shared" si="85"/>
        <v>35284.099999999977</v>
      </c>
      <c r="B2728" s="72">
        <f t="shared" si="84"/>
        <v>-100</v>
      </c>
      <c r="C2728" s="70">
        <v>2727</v>
      </c>
      <c r="E2728" s="66">
        <v>100</v>
      </c>
      <c r="F2728" s="85">
        <v>46018</v>
      </c>
      <c r="G2728" s="64" t="s">
        <v>1508</v>
      </c>
      <c r="H2728"/>
      <c r="I2728"/>
    </row>
    <row r="2729" spans="1:9" x14ac:dyDescent="0.35">
      <c r="A2729" s="71">
        <f t="shared" si="85"/>
        <v>35284.099999999977</v>
      </c>
      <c r="B2729" s="72">
        <f t="shared" si="84"/>
        <v>0</v>
      </c>
      <c r="C2729" s="70">
        <v>2728</v>
      </c>
      <c r="D2729" s="65">
        <v>50</v>
      </c>
      <c r="E2729" s="66">
        <v>50</v>
      </c>
      <c r="F2729" s="85">
        <v>46018</v>
      </c>
      <c r="G2729" s="64" t="s">
        <v>1504</v>
      </c>
      <c r="H2729"/>
      <c r="I2729"/>
    </row>
    <row r="2730" spans="1:9" x14ac:dyDescent="0.35">
      <c r="A2730" s="71">
        <f t="shared" si="85"/>
        <v>35284.099999999977</v>
      </c>
      <c r="B2730" s="72">
        <f t="shared" si="84"/>
        <v>0</v>
      </c>
      <c r="C2730" s="70">
        <v>2729</v>
      </c>
      <c r="D2730" s="65">
        <v>50</v>
      </c>
      <c r="E2730" s="66">
        <v>50</v>
      </c>
      <c r="F2730" s="85">
        <v>46019</v>
      </c>
      <c r="G2730" s="64" t="s">
        <v>1505</v>
      </c>
      <c r="H2730"/>
      <c r="I2730"/>
    </row>
    <row r="2731" spans="1:9" x14ac:dyDescent="0.35">
      <c r="A2731" s="71">
        <f t="shared" si="85"/>
        <v>47784.099999999977</v>
      </c>
      <c r="B2731" s="72">
        <f t="shared" si="84"/>
        <v>12500</v>
      </c>
      <c r="C2731" s="70">
        <v>2730</v>
      </c>
      <c r="D2731" s="65">
        <v>12500</v>
      </c>
      <c r="F2731" s="85">
        <v>46019</v>
      </c>
      <c r="G2731" s="64" t="s">
        <v>33</v>
      </c>
      <c r="H2731"/>
      <c r="I2731"/>
    </row>
    <row r="2732" spans="1:9" x14ac:dyDescent="0.35">
      <c r="A2732" s="71">
        <f t="shared" si="85"/>
        <v>47184.099999999977</v>
      </c>
      <c r="B2732" s="72">
        <f t="shared" si="84"/>
        <v>-600</v>
      </c>
      <c r="C2732" s="70">
        <v>2731</v>
      </c>
      <c r="E2732" s="66">
        <v>600</v>
      </c>
      <c r="F2732" s="85">
        <v>46019</v>
      </c>
      <c r="G2732" s="64" t="s">
        <v>1506</v>
      </c>
      <c r="H2732"/>
      <c r="I2732"/>
    </row>
    <row r="2733" spans="1:9" x14ac:dyDescent="0.35">
      <c r="A2733" s="71">
        <f t="shared" si="85"/>
        <v>67049.099999999977</v>
      </c>
      <c r="B2733" s="72">
        <f t="shared" si="84"/>
        <v>19865</v>
      </c>
      <c r="C2733" s="70">
        <v>2732</v>
      </c>
      <c r="D2733" s="65">
        <v>20070</v>
      </c>
      <c r="E2733" s="66">
        <v>205</v>
      </c>
      <c r="F2733" s="85">
        <v>46019</v>
      </c>
      <c r="G2733" s="64" t="s">
        <v>195</v>
      </c>
      <c r="H2733"/>
      <c r="I2733"/>
    </row>
    <row r="2734" spans="1:9" x14ac:dyDescent="0.35">
      <c r="A2734" s="71">
        <f t="shared" si="85"/>
        <v>66974.099999999977</v>
      </c>
      <c r="B2734" s="72">
        <f t="shared" si="84"/>
        <v>-75</v>
      </c>
      <c r="C2734" s="70">
        <v>2733</v>
      </c>
      <c r="E2734" s="66">
        <v>75</v>
      </c>
      <c r="F2734" s="85">
        <v>46019</v>
      </c>
      <c r="G2734" s="64" t="s">
        <v>2</v>
      </c>
      <c r="H2734"/>
      <c r="I2734"/>
    </row>
    <row r="2735" spans="1:9" x14ac:dyDescent="0.35">
      <c r="A2735" s="71">
        <f t="shared" si="85"/>
        <v>66424.099999999977</v>
      </c>
      <c r="B2735" s="72">
        <f t="shared" si="84"/>
        <v>-550</v>
      </c>
      <c r="C2735" s="70">
        <v>2734</v>
      </c>
      <c r="E2735" s="66">
        <v>550</v>
      </c>
      <c r="F2735" s="85">
        <v>46019</v>
      </c>
      <c r="G2735" s="64" t="s">
        <v>1078</v>
      </c>
      <c r="H2735"/>
      <c r="I2735"/>
    </row>
    <row r="2736" spans="1:9" x14ac:dyDescent="0.35">
      <c r="A2736" s="71">
        <f t="shared" si="85"/>
        <v>66209.099999999977</v>
      </c>
      <c r="B2736" s="72">
        <f t="shared" si="84"/>
        <v>-215</v>
      </c>
      <c r="C2736" s="70">
        <v>2735</v>
      </c>
      <c r="E2736" s="66">
        <v>215</v>
      </c>
      <c r="F2736" s="85">
        <v>46019</v>
      </c>
      <c r="G2736" s="64" t="s">
        <v>1078</v>
      </c>
      <c r="H2736"/>
      <c r="I2736"/>
    </row>
    <row r="2737" spans="1:9" x14ac:dyDescent="0.35">
      <c r="A2737" s="71">
        <f t="shared" si="85"/>
        <v>71494.099999999977</v>
      </c>
      <c r="B2737" s="72">
        <f t="shared" si="84"/>
        <v>5285</v>
      </c>
      <c r="C2737" s="70">
        <v>2736</v>
      </c>
      <c r="D2737" s="65">
        <v>5375</v>
      </c>
      <c r="E2737" s="66">
        <v>90</v>
      </c>
      <c r="F2737" s="85">
        <v>46020</v>
      </c>
      <c r="G2737" s="64" t="s">
        <v>437</v>
      </c>
      <c r="H2737"/>
      <c r="I2737"/>
    </row>
    <row r="2738" spans="1:9" x14ac:dyDescent="0.35">
      <c r="A2738" s="71">
        <f t="shared" si="85"/>
        <v>71474.099999999977</v>
      </c>
      <c r="B2738" s="72">
        <f t="shared" si="84"/>
        <v>-20</v>
      </c>
      <c r="C2738" s="70">
        <v>2737</v>
      </c>
      <c r="E2738" s="66">
        <v>20</v>
      </c>
      <c r="F2738" s="85">
        <v>46020</v>
      </c>
      <c r="G2738" s="64" t="s">
        <v>296</v>
      </c>
      <c r="H2738"/>
      <c r="I2738"/>
    </row>
    <row r="2739" spans="1:9" x14ac:dyDescent="0.35">
      <c r="A2739" s="71">
        <f t="shared" si="85"/>
        <v>69974.099999999977</v>
      </c>
      <c r="B2739" s="72">
        <f t="shared" si="84"/>
        <v>-1500</v>
      </c>
      <c r="C2739" s="70">
        <v>2738</v>
      </c>
      <c r="E2739" s="66">
        <v>1500</v>
      </c>
      <c r="F2739" s="85">
        <v>46020</v>
      </c>
      <c r="G2739" s="64" t="s">
        <v>1510</v>
      </c>
      <c r="H2739"/>
      <c r="I2739"/>
    </row>
    <row r="2740" spans="1:9" x14ac:dyDescent="0.35">
      <c r="A2740" s="71">
        <f t="shared" si="85"/>
        <v>69819.099999999977</v>
      </c>
      <c r="B2740" s="72">
        <f t="shared" si="84"/>
        <v>-155</v>
      </c>
      <c r="C2740" s="70">
        <v>2739</v>
      </c>
      <c r="E2740" s="66">
        <v>155</v>
      </c>
      <c r="F2740" s="85">
        <v>46020</v>
      </c>
      <c r="G2740" s="64" t="s">
        <v>961</v>
      </c>
      <c r="H2740"/>
      <c r="I2740"/>
    </row>
    <row r="2741" spans="1:9" x14ac:dyDescent="0.35">
      <c r="A2741" s="71">
        <f t="shared" si="85"/>
        <v>69199.099999999977</v>
      </c>
      <c r="B2741" s="72">
        <f t="shared" si="84"/>
        <v>-620</v>
      </c>
      <c r="C2741" s="70">
        <v>2740</v>
      </c>
      <c r="E2741" s="66">
        <v>620</v>
      </c>
      <c r="F2741" s="85">
        <v>46020</v>
      </c>
      <c r="G2741" s="64" t="s">
        <v>1511</v>
      </c>
      <c r="H2741"/>
      <c r="I2741"/>
    </row>
    <row r="2742" spans="1:9" x14ac:dyDescent="0.35">
      <c r="A2742" s="71">
        <f t="shared" si="85"/>
        <v>68839.099999999977</v>
      </c>
      <c r="B2742" s="72">
        <f t="shared" si="84"/>
        <v>-360</v>
      </c>
      <c r="C2742" s="70">
        <v>2741</v>
      </c>
      <c r="E2742" s="66">
        <v>360</v>
      </c>
      <c r="F2742" s="85">
        <v>46020</v>
      </c>
      <c r="G2742" s="64" t="s">
        <v>1512</v>
      </c>
      <c r="H2742"/>
      <c r="I2742"/>
    </row>
    <row r="2743" spans="1:9" x14ac:dyDescent="0.35">
      <c r="A2743" s="71">
        <f t="shared" si="85"/>
        <v>87054.099999999977</v>
      </c>
      <c r="B2743" s="72">
        <f t="shared" si="84"/>
        <v>18215</v>
      </c>
      <c r="C2743" s="70">
        <v>2742</v>
      </c>
      <c r="D2743" s="65">
        <v>18300</v>
      </c>
      <c r="E2743" s="66">
        <v>85</v>
      </c>
      <c r="F2743" s="85">
        <v>46021</v>
      </c>
      <c r="G2743" s="64" t="s">
        <v>1513</v>
      </c>
      <c r="H2743"/>
      <c r="I2743"/>
    </row>
    <row r="2744" spans="1:9" x14ac:dyDescent="0.35">
      <c r="A2744" s="71">
        <f t="shared" si="85"/>
        <v>93304.099999999977</v>
      </c>
      <c r="B2744" s="72">
        <f t="shared" si="84"/>
        <v>6250</v>
      </c>
      <c r="C2744" s="70">
        <v>2743</v>
      </c>
      <c r="D2744" s="65">
        <v>6250</v>
      </c>
      <c r="F2744" s="85">
        <v>46021</v>
      </c>
      <c r="G2744" s="64" t="s">
        <v>33</v>
      </c>
      <c r="H2744"/>
      <c r="I2744"/>
    </row>
    <row r="2745" spans="1:9" x14ac:dyDescent="0.35">
      <c r="A2745" s="71">
        <f t="shared" si="85"/>
        <v>93214.099999999977</v>
      </c>
      <c r="B2745" s="72">
        <f t="shared" si="84"/>
        <v>-90</v>
      </c>
      <c r="C2745" s="70">
        <v>2744</v>
      </c>
      <c r="E2745" s="66">
        <v>90</v>
      </c>
      <c r="F2745" s="85">
        <v>46021</v>
      </c>
      <c r="G2745" s="64" t="s">
        <v>437</v>
      </c>
      <c r="H2745"/>
      <c r="I2745"/>
    </row>
    <row r="2746" spans="1:9" x14ac:dyDescent="0.35">
      <c r="A2746" s="71">
        <f t="shared" si="85"/>
        <v>93214.099999999977</v>
      </c>
      <c r="B2746" s="72">
        <f t="shared" si="84"/>
        <v>0</v>
      </c>
      <c r="C2746" s="70">
        <v>2745</v>
      </c>
      <c r="D2746" s="65">
        <v>20</v>
      </c>
      <c r="E2746" s="66">
        <v>20</v>
      </c>
      <c r="F2746" s="85">
        <v>46021</v>
      </c>
      <c r="G2746" s="64" t="s">
        <v>1515</v>
      </c>
      <c r="H2746"/>
      <c r="I2746"/>
    </row>
    <row r="2747" spans="1:9" x14ac:dyDescent="0.35">
      <c r="A2747" s="71">
        <f t="shared" si="85"/>
        <v>41352.099999999977</v>
      </c>
      <c r="B2747" s="72">
        <f t="shared" si="84"/>
        <v>-51862</v>
      </c>
      <c r="C2747" s="70">
        <v>2746</v>
      </c>
      <c r="E2747" s="66">
        <v>51862</v>
      </c>
      <c r="F2747" s="85">
        <v>46022</v>
      </c>
      <c r="G2747" s="64" t="s">
        <v>298</v>
      </c>
      <c r="H2747"/>
      <c r="I2747"/>
    </row>
    <row r="2748" spans="1:9" x14ac:dyDescent="0.35">
      <c r="A2748" s="71">
        <f t="shared" si="85"/>
        <v>21352.099999999977</v>
      </c>
      <c r="B2748" s="72">
        <f t="shared" si="84"/>
        <v>-20000</v>
      </c>
      <c r="C2748" s="70">
        <v>2747</v>
      </c>
      <c r="E2748" s="66">
        <v>20000</v>
      </c>
      <c r="F2748" s="85">
        <v>46022</v>
      </c>
      <c r="G2748" s="64" t="s">
        <v>1514</v>
      </c>
      <c r="H2748"/>
      <c r="I2748"/>
    </row>
    <row r="2749" spans="1:9" x14ac:dyDescent="0.35">
      <c r="A2749" s="71">
        <f t="shared" si="85"/>
        <v>20002.099999999977</v>
      </c>
      <c r="B2749" s="72">
        <f t="shared" si="84"/>
        <v>-1350</v>
      </c>
      <c r="C2749" s="70">
        <v>2748</v>
      </c>
      <c r="E2749" s="66">
        <v>1350</v>
      </c>
      <c r="F2749" s="85">
        <v>46022</v>
      </c>
      <c r="G2749" s="64" t="s">
        <v>1216</v>
      </c>
      <c r="H2749"/>
      <c r="I2749"/>
    </row>
    <row r="2750" spans="1:9" x14ac:dyDescent="0.35">
      <c r="A2750" s="71">
        <f t="shared" si="85"/>
        <v>28432.099999999977</v>
      </c>
      <c r="B2750" s="72">
        <f t="shared" si="84"/>
        <v>8430</v>
      </c>
      <c r="C2750" s="70">
        <v>2749</v>
      </c>
      <c r="D2750" s="65">
        <v>8520</v>
      </c>
      <c r="E2750" s="66">
        <v>90</v>
      </c>
      <c r="F2750" s="85">
        <v>46022</v>
      </c>
      <c r="G2750" s="64" t="s">
        <v>400</v>
      </c>
      <c r="H2750"/>
      <c r="I2750"/>
    </row>
    <row r="2751" spans="1:9" x14ac:dyDescent="0.35">
      <c r="A2751" s="71">
        <f t="shared" si="85"/>
        <v>28282.099999999977</v>
      </c>
      <c r="B2751" s="72">
        <f t="shared" si="84"/>
        <v>-150</v>
      </c>
      <c r="C2751" s="70">
        <v>2750</v>
      </c>
      <c r="E2751" s="66">
        <v>150</v>
      </c>
      <c r="F2751" s="85">
        <v>46022</v>
      </c>
      <c r="G2751" s="64" t="s">
        <v>1516</v>
      </c>
      <c r="H2751"/>
      <c r="I2751"/>
    </row>
    <row r="2752" spans="1:9" x14ac:dyDescent="0.35">
      <c r="A2752" s="71">
        <f t="shared" si="85"/>
        <v>27832.099999999977</v>
      </c>
      <c r="B2752" s="72">
        <f t="shared" si="84"/>
        <v>-450</v>
      </c>
      <c r="C2752" s="70">
        <v>2751</v>
      </c>
      <c r="E2752" s="66">
        <v>450</v>
      </c>
      <c r="F2752" s="85">
        <v>46022</v>
      </c>
      <c r="G2752" s="64" t="s">
        <v>1465</v>
      </c>
      <c r="H2752"/>
      <c r="I2752"/>
    </row>
    <row r="2753" spans="1:9" x14ac:dyDescent="0.35">
      <c r="A2753" s="71">
        <f t="shared" si="85"/>
        <v>47832.099999999977</v>
      </c>
      <c r="B2753" s="72">
        <f t="shared" si="84"/>
        <v>20000</v>
      </c>
      <c r="C2753" s="70">
        <v>2752</v>
      </c>
      <c r="D2753" s="65">
        <v>25000</v>
      </c>
      <c r="E2753" s="66">
        <v>5000</v>
      </c>
      <c r="F2753" s="85">
        <v>46022</v>
      </c>
      <c r="G2753" s="64" t="s">
        <v>1517</v>
      </c>
      <c r="H2753"/>
      <c r="I2753"/>
    </row>
    <row r="2754" spans="1:9" x14ac:dyDescent="0.35">
      <c r="A2754" s="71">
        <f t="shared" si="85"/>
        <v>51732.099999999977</v>
      </c>
      <c r="B2754" s="72">
        <f t="shared" si="84"/>
        <v>3900</v>
      </c>
      <c r="C2754" s="70">
        <v>2753</v>
      </c>
      <c r="D2754" s="65">
        <v>3900</v>
      </c>
      <c r="F2754" s="85">
        <v>46023</v>
      </c>
      <c r="G2754" s="64" t="s">
        <v>1523</v>
      </c>
      <c r="H2754"/>
      <c r="I2754"/>
    </row>
    <row r="2755" spans="1:9" x14ac:dyDescent="0.35">
      <c r="A2755" s="71">
        <f t="shared" si="85"/>
        <v>50482.099999999977</v>
      </c>
      <c r="B2755" s="72">
        <f t="shared" ref="B2755:B2818" si="86">SUM(D2755-E2755)</f>
        <v>-1250</v>
      </c>
      <c r="C2755" s="70">
        <v>2754</v>
      </c>
      <c r="E2755" s="66">
        <v>1250</v>
      </c>
      <c r="F2755" s="85">
        <v>46023</v>
      </c>
      <c r="G2755" s="64" t="s">
        <v>1315</v>
      </c>
      <c r="H2755"/>
      <c r="I2755"/>
    </row>
    <row r="2756" spans="1:9" x14ac:dyDescent="0.35">
      <c r="A2756" s="71">
        <f t="shared" ref="A2756:A2820" si="87">SUM(A2755+B2756)</f>
        <v>52847.099999999977</v>
      </c>
      <c r="B2756" s="72">
        <f t="shared" si="86"/>
        <v>2365</v>
      </c>
      <c r="C2756" s="70">
        <v>2755</v>
      </c>
      <c r="D2756" s="65">
        <v>2545</v>
      </c>
      <c r="E2756" s="66">
        <v>180</v>
      </c>
      <c r="F2756" s="85">
        <v>46023</v>
      </c>
      <c r="G2756" s="64" t="s">
        <v>752</v>
      </c>
      <c r="H2756"/>
      <c r="I2756"/>
    </row>
    <row r="2757" spans="1:9" x14ac:dyDescent="0.35">
      <c r="A2757" s="71">
        <f t="shared" si="87"/>
        <v>52332.099999999977</v>
      </c>
      <c r="B2757" s="72">
        <f t="shared" si="86"/>
        <v>-515</v>
      </c>
      <c r="C2757" s="70">
        <v>2756</v>
      </c>
      <c r="E2757" s="66">
        <v>515</v>
      </c>
      <c r="F2757" s="85">
        <v>46023</v>
      </c>
      <c r="G2757" s="64" t="s">
        <v>1518</v>
      </c>
      <c r="H2757"/>
      <c r="I2757"/>
    </row>
    <row r="2758" spans="1:9" x14ac:dyDescent="0.35">
      <c r="A2758" s="71">
        <f t="shared" si="87"/>
        <v>53097.099999999977</v>
      </c>
      <c r="B2758" s="72">
        <f t="shared" si="86"/>
        <v>765</v>
      </c>
      <c r="C2758" s="70">
        <v>2757</v>
      </c>
      <c r="D2758" s="65">
        <v>1035</v>
      </c>
      <c r="E2758" s="66">
        <v>270</v>
      </c>
      <c r="F2758" s="85">
        <v>46025</v>
      </c>
      <c r="G2758" s="64" t="s">
        <v>437</v>
      </c>
      <c r="H2758"/>
      <c r="I2758"/>
    </row>
    <row r="2759" spans="1:9" x14ac:dyDescent="0.35">
      <c r="A2759" s="71">
        <f t="shared" si="87"/>
        <v>53007.099999999977</v>
      </c>
      <c r="B2759" s="72">
        <f t="shared" si="86"/>
        <v>-90</v>
      </c>
      <c r="C2759" s="70">
        <v>2758</v>
      </c>
      <c r="E2759" s="66">
        <v>90</v>
      </c>
      <c r="F2759" s="85">
        <v>46025</v>
      </c>
      <c r="G2759" s="64" t="s">
        <v>400</v>
      </c>
      <c r="H2759"/>
      <c r="I2759"/>
    </row>
    <row r="2760" spans="1:9" x14ac:dyDescent="0.35">
      <c r="A2760" s="71">
        <f t="shared" si="87"/>
        <v>52207.099999999977</v>
      </c>
      <c r="B2760" s="72">
        <f t="shared" si="86"/>
        <v>-800</v>
      </c>
      <c r="C2760" s="70">
        <v>2759</v>
      </c>
      <c r="E2760" s="66">
        <v>800</v>
      </c>
      <c r="F2760" s="85">
        <v>46025</v>
      </c>
      <c r="G2760" s="64" t="s">
        <v>1519</v>
      </c>
      <c r="H2760"/>
      <c r="I2760"/>
    </row>
    <row r="2761" spans="1:9" x14ac:dyDescent="0.35">
      <c r="A2761" s="71">
        <f t="shared" si="87"/>
        <v>67327.099999999977</v>
      </c>
      <c r="B2761" s="72">
        <f t="shared" si="86"/>
        <v>15120</v>
      </c>
      <c r="C2761" s="70">
        <v>2760</v>
      </c>
      <c r="D2761" s="65">
        <v>15275</v>
      </c>
      <c r="E2761" s="66">
        <v>155</v>
      </c>
      <c r="F2761" s="85">
        <v>46026</v>
      </c>
      <c r="G2761" s="64" t="s">
        <v>961</v>
      </c>
      <c r="H2761"/>
      <c r="I2761"/>
    </row>
    <row r="2762" spans="1:9" x14ac:dyDescent="0.35">
      <c r="A2762" s="71">
        <f t="shared" si="87"/>
        <v>38077.099999999977</v>
      </c>
      <c r="B2762" s="72">
        <f t="shared" si="86"/>
        <v>-29250</v>
      </c>
      <c r="C2762" s="70">
        <v>2761</v>
      </c>
      <c r="E2762" s="66">
        <v>29250</v>
      </c>
      <c r="F2762" s="85">
        <v>46026</v>
      </c>
      <c r="G2762" s="64" t="s">
        <v>15</v>
      </c>
      <c r="H2762"/>
      <c r="I2762"/>
    </row>
    <row r="2763" spans="1:9" x14ac:dyDescent="0.35">
      <c r="A2763" s="71">
        <f t="shared" si="87"/>
        <v>38977.099999999977</v>
      </c>
      <c r="B2763" s="72">
        <f t="shared" si="86"/>
        <v>900</v>
      </c>
      <c r="C2763" s="70">
        <v>2762</v>
      </c>
      <c r="D2763" s="65">
        <v>900</v>
      </c>
      <c r="F2763" s="85">
        <v>46026</v>
      </c>
      <c r="G2763" s="64" t="s">
        <v>833</v>
      </c>
      <c r="H2763"/>
      <c r="I2763"/>
    </row>
    <row r="2764" spans="1:9" x14ac:dyDescent="0.35">
      <c r="A2764" s="71">
        <f t="shared" si="87"/>
        <v>38862.099999999977</v>
      </c>
      <c r="B2764" s="72">
        <f t="shared" si="86"/>
        <v>-115</v>
      </c>
      <c r="C2764" s="70">
        <v>2763</v>
      </c>
      <c r="E2764" s="66">
        <v>115</v>
      </c>
      <c r="F2764" s="85">
        <v>46026</v>
      </c>
      <c r="G2764" s="64" t="s">
        <v>250</v>
      </c>
      <c r="H2764"/>
      <c r="I2764"/>
    </row>
    <row r="2765" spans="1:9" x14ac:dyDescent="0.35">
      <c r="A2765" s="71">
        <f t="shared" si="87"/>
        <v>38312.099999999977</v>
      </c>
      <c r="B2765" s="72">
        <f t="shared" si="86"/>
        <v>-550</v>
      </c>
      <c r="C2765" s="70">
        <v>2764</v>
      </c>
      <c r="E2765" s="66">
        <v>550</v>
      </c>
      <c r="F2765" s="85">
        <v>46026</v>
      </c>
      <c r="G2765" s="64" t="s">
        <v>1078</v>
      </c>
      <c r="H2765"/>
      <c r="I2765"/>
    </row>
    <row r="2766" spans="1:9" x14ac:dyDescent="0.35">
      <c r="A2766" s="71">
        <f t="shared" si="87"/>
        <v>37992.099999999977</v>
      </c>
      <c r="B2766" s="72">
        <f t="shared" si="86"/>
        <v>-320</v>
      </c>
      <c r="C2766" s="70">
        <v>2765</v>
      </c>
      <c r="E2766" s="66">
        <v>320</v>
      </c>
      <c r="F2766" s="85">
        <v>46026</v>
      </c>
      <c r="G2766" s="64" t="s">
        <v>1525</v>
      </c>
      <c r="H2766"/>
      <c r="I2766"/>
    </row>
    <row r="2767" spans="1:9" x14ac:dyDescent="0.35">
      <c r="A2767" s="71">
        <f t="shared" si="87"/>
        <v>37632.099999999977</v>
      </c>
      <c r="B2767" s="72">
        <f t="shared" si="86"/>
        <v>-360</v>
      </c>
      <c r="C2767" s="70">
        <v>2766</v>
      </c>
      <c r="E2767" s="66">
        <v>360</v>
      </c>
      <c r="F2767" s="85">
        <v>46026</v>
      </c>
      <c r="G2767" s="64" t="s">
        <v>437</v>
      </c>
      <c r="H2767"/>
      <c r="I2767"/>
    </row>
    <row r="2768" spans="1:9" x14ac:dyDescent="0.35">
      <c r="A2768" s="71">
        <f t="shared" si="87"/>
        <v>35812.099999999977</v>
      </c>
      <c r="B2768" s="72">
        <f t="shared" si="86"/>
        <v>-1820</v>
      </c>
      <c r="C2768" s="70">
        <v>2767</v>
      </c>
      <c r="E2768" s="66">
        <v>1820</v>
      </c>
      <c r="F2768" s="85">
        <v>46026</v>
      </c>
      <c r="G2768" s="64" t="s">
        <v>1520</v>
      </c>
      <c r="H2768"/>
      <c r="I2768"/>
    </row>
    <row r="2769" spans="1:9" x14ac:dyDescent="0.35">
      <c r="A2769" s="71">
        <f t="shared" si="87"/>
        <v>35452.099999999977</v>
      </c>
      <c r="B2769" s="72">
        <f t="shared" si="86"/>
        <v>-360</v>
      </c>
      <c r="C2769" s="70">
        <v>2768</v>
      </c>
      <c r="E2769" s="66">
        <v>360</v>
      </c>
      <c r="F2769" s="85">
        <v>46026</v>
      </c>
      <c r="G2769" s="64" t="s">
        <v>1078</v>
      </c>
      <c r="H2769"/>
      <c r="I2769"/>
    </row>
    <row r="2770" spans="1:9" x14ac:dyDescent="0.35">
      <c r="A2770" s="71">
        <f t="shared" si="87"/>
        <v>14252.099999999977</v>
      </c>
      <c r="B2770" s="72">
        <f t="shared" si="86"/>
        <v>-21200</v>
      </c>
      <c r="C2770" s="70">
        <v>2769</v>
      </c>
      <c r="E2770" s="66">
        <v>21200</v>
      </c>
      <c r="F2770" s="85">
        <v>46027</v>
      </c>
      <c r="G2770" s="64" t="s">
        <v>17</v>
      </c>
      <c r="H2770"/>
      <c r="I2770"/>
    </row>
    <row r="2771" spans="1:9" x14ac:dyDescent="0.35">
      <c r="A2771" s="71">
        <f t="shared" si="87"/>
        <v>13252.099999999977</v>
      </c>
      <c r="B2771" s="72">
        <f t="shared" si="86"/>
        <v>-1000</v>
      </c>
      <c r="C2771" s="70">
        <v>2770</v>
      </c>
      <c r="E2771" s="66">
        <v>1000</v>
      </c>
      <c r="F2771" s="85">
        <v>46027</v>
      </c>
      <c r="G2771" s="64" t="s">
        <v>1469</v>
      </c>
      <c r="H2771"/>
      <c r="I2771"/>
    </row>
    <row r="2772" spans="1:9" x14ac:dyDescent="0.35">
      <c r="A2772" s="71">
        <f t="shared" si="87"/>
        <v>13177.099999999977</v>
      </c>
      <c r="B2772" s="72">
        <f t="shared" si="86"/>
        <v>-75</v>
      </c>
      <c r="C2772" s="70">
        <v>2771</v>
      </c>
      <c r="E2772" s="66">
        <v>75</v>
      </c>
      <c r="F2772" s="85">
        <v>46027</v>
      </c>
      <c r="G2772" s="64" t="s">
        <v>1521</v>
      </c>
      <c r="H2772"/>
      <c r="I2772"/>
    </row>
    <row r="2773" spans="1:9" x14ac:dyDescent="0.35">
      <c r="A2773" s="71">
        <f t="shared" si="87"/>
        <v>15652.099999999977</v>
      </c>
      <c r="B2773" s="72">
        <f t="shared" si="86"/>
        <v>2475</v>
      </c>
      <c r="C2773" s="70">
        <v>2772</v>
      </c>
      <c r="D2773" s="65">
        <v>2655</v>
      </c>
      <c r="E2773" s="66">
        <v>180</v>
      </c>
      <c r="F2773" s="85">
        <v>46027</v>
      </c>
      <c r="G2773" s="64" t="s">
        <v>437</v>
      </c>
      <c r="H2773"/>
      <c r="I2773"/>
    </row>
    <row r="2774" spans="1:9" x14ac:dyDescent="0.35">
      <c r="A2774" s="71">
        <f t="shared" si="87"/>
        <v>15632.099999999977</v>
      </c>
      <c r="B2774" s="72">
        <f t="shared" si="86"/>
        <v>-20</v>
      </c>
      <c r="C2774" s="70">
        <v>2773</v>
      </c>
      <c r="E2774" s="66">
        <v>20</v>
      </c>
      <c r="F2774" s="85">
        <v>46027</v>
      </c>
      <c r="G2774" s="64" t="s">
        <v>462</v>
      </c>
      <c r="H2774"/>
      <c r="I2774"/>
    </row>
    <row r="2775" spans="1:9" x14ac:dyDescent="0.35">
      <c r="A2775" s="71">
        <f t="shared" si="87"/>
        <v>36462.099999999977</v>
      </c>
      <c r="B2775" s="72">
        <f t="shared" si="86"/>
        <v>20830</v>
      </c>
      <c r="C2775" s="70">
        <v>2774</v>
      </c>
      <c r="D2775" s="65">
        <v>23680</v>
      </c>
      <c r="E2775" s="66">
        <v>2850</v>
      </c>
      <c r="F2775" s="85">
        <v>46028</v>
      </c>
      <c r="G2775" s="64" t="s">
        <v>1522</v>
      </c>
      <c r="H2775"/>
      <c r="I2775"/>
    </row>
    <row r="2776" spans="1:9" x14ac:dyDescent="0.35">
      <c r="A2776" s="71">
        <f t="shared" si="87"/>
        <v>36262.099999999977</v>
      </c>
      <c r="B2776" s="72">
        <f t="shared" si="86"/>
        <v>-200</v>
      </c>
      <c r="C2776" s="70">
        <v>2775</v>
      </c>
      <c r="E2776" s="66">
        <v>200</v>
      </c>
      <c r="F2776" s="85">
        <v>46028</v>
      </c>
      <c r="G2776" s="64" t="s">
        <v>1524</v>
      </c>
      <c r="H2776"/>
      <c r="I2776"/>
    </row>
    <row r="2777" spans="1:9" x14ac:dyDescent="0.35">
      <c r="A2777" s="71">
        <f t="shared" si="87"/>
        <v>35712.099999999977</v>
      </c>
      <c r="B2777" s="72">
        <f t="shared" si="86"/>
        <v>-550</v>
      </c>
      <c r="C2777" s="70">
        <v>2776</v>
      </c>
      <c r="E2777" s="66">
        <v>550</v>
      </c>
      <c r="F2777" s="85">
        <v>46028</v>
      </c>
      <c r="G2777" s="64" t="s">
        <v>1527</v>
      </c>
      <c r="H2777"/>
      <c r="I2777"/>
    </row>
    <row r="2778" spans="1:9" x14ac:dyDescent="0.35">
      <c r="A2778" s="71">
        <f t="shared" si="87"/>
        <v>50967.099999999977</v>
      </c>
      <c r="B2778" s="72">
        <f t="shared" si="86"/>
        <v>15255</v>
      </c>
      <c r="C2778" s="70">
        <v>2777</v>
      </c>
      <c r="D2778" s="65">
        <v>15255</v>
      </c>
      <c r="F2778" s="85">
        <v>46029</v>
      </c>
      <c r="G2778" s="64" t="s">
        <v>990</v>
      </c>
      <c r="H2778"/>
      <c r="I2778"/>
    </row>
    <row r="2779" spans="1:9" x14ac:dyDescent="0.35">
      <c r="A2779" s="71">
        <f t="shared" si="87"/>
        <v>50987.099999999977</v>
      </c>
      <c r="B2779" s="72">
        <f t="shared" si="86"/>
        <v>20</v>
      </c>
      <c r="C2779" s="70">
        <v>2778</v>
      </c>
      <c r="D2779" s="65">
        <v>20</v>
      </c>
      <c r="F2779" s="85">
        <v>46029</v>
      </c>
      <c r="G2779" s="64" t="s">
        <v>1526</v>
      </c>
      <c r="H2779"/>
      <c r="I2779"/>
    </row>
    <row r="2780" spans="1:9" x14ac:dyDescent="0.35">
      <c r="A2780" s="71">
        <f t="shared" si="87"/>
        <v>53207.099999999977</v>
      </c>
      <c r="B2780" s="72">
        <f t="shared" si="86"/>
        <v>2220</v>
      </c>
      <c r="C2780" s="70">
        <v>2779</v>
      </c>
      <c r="D2780" s="65">
        <v>2310</v>
      </c>
      <c r="E2780" s="66">
        <v>90</v>
      </c>
      <c r="F2780" s="85">
        <v>46030</v>
      </c>
      <c r="G2780" s="64" t="s">
        <v>752</v>
      </c>
      <c r="H2780"/>
      <c r="I2780"/>
    </row>
    <row r="2781" spans="1:9" x14ac:dyDescent="0.35">
      <c r="A2781" s="71">
        <f t="shared" si="87"/>
        <v>53207.099999999977</v>
      </c>
      <c r="B2781" s="72">
        <f t="shared" si="86"/>
        <v>0</v>
      </c>
      <c r="C2781" s="70">
        <v>2780</v>
      </c>
      <c r="D2781" s="65">
        <v>200</v>
      </c>
      <c r="E2781" s="66">
        <v>200</v>
      </c>
      <c r="F2781" s="85">
        <v>46030</v>
      </c>
      <c r="G2781" s="64" t="s">
        <v>1529</v>
      </c>
      <c r="H2781"/>
      <c r="I2781"/>
    </row>
    <row r="2782" spans="1:9" x14ac:dyDescent="0.35">
      <c r="A2782" s="71">
        <f t="shared" si="87"/>
        <v>53057.099999999977</v>
      </c>
      <c r="B2782" s="72">
        <f t="shared" si="86"/>
        <v>-150</v>
      </c>
      <c r="C2782" s="70">
        <v>2781</v>
      </c>
      <c r="E2782" s="66">
        <v>150</v>
      </c>
      <c r="F2782" s="85">
        <v>46030</v>
      </c>
      <c r="G2782" s="64" t="s">
        <v>1530</v>
      </c>
      <c r="H2782"/>
      <c r="I2782"/>
    </row>
    <row r="2783" spans="1:9" x14ac:dyDescent="0.35">
      <c r="A2783" s="71">
        <f t="shared" si="87"/>
        <v>38657.099999999977</v>
      </c>
      <c r="B2783" s="72">
        <f t="shared" si="86"/>
        <v>-14400</v>
      </c>
      <c r="C2783" s="70">
        <v>2782</v>
      </c>
      <c r="E2783" s="66">
        <v>14400</v>
      </c>
      <c r="F2783" s="85">
        <v>46030</v>
      </c>
      <c r="G2783" s="64" t="s">
        <v>231</v>
      </c>
      <c r="H2783"/>
      <c r="I2783"/>
    </row>
    <row r="2784" spans="1:9" x14ac:dyDescent="0.35">
      <c r="A2784" s="71">
        <f t="shared" si="87"/>
        <v>10099.099999999977</v>
      </c>
      <c r="B2784" s="72">
        <f t="shared" si="86"/>
        <v>-28558</v>
      </c>
      <c r="C2784" s="70">
        <v>2783</v>
      </c>
      <c r="E2784" s="66">
        <v>28558</v>
      </c>
      <c r="F2784" s="85">
        <v>46030</v>
      </c>
      <c r="G2784" s="64" t="s">
        <v>18</v>
      </c>
      <c r="H2784"/>
      <c r="I2784"/>
    </row>
    <row r="2785" spans="1:13" x14ac:dyDescent="0.35">
      <c r="A2785" s="71">
        <f t="shared" si="87"/>
        <v>11279.099999999977</v>
      </c>
      <c r="B2785" s="72">
        <f t="shared" si="86"/>
        <v>1180</v>
      </c>
      <c r="C2785" s="70">
        <v>2784</v>
      </c>
      <c r="D2785" s="65">
        <v>1360</v>
      </c>
      <c r="E2785" s="66">
        <v>180</v>
      </c>
      <c r="F2785" s="85">
        <v>46031</v>
      </c>
      <c r="G2785" s="64" t="s">
        <v>437</v>
      </c>
      <c r="H2785"/>
      <c r="I2785"/>
    </row>
    <row r="2786" spans="1:13" x14ac:dyDescent="0.35">
      <c r="A2786" s="71">
        <f t="shared" si="87"/>
        <v>19904.099999999977</v>
      </c>
      <c r="B2786" s="72">
        <f t="shared" si="86"/>
        <v>8625</v>
      </c>
      <c r="C2786" s="70">
        <v>2785</v>
      </c>
      <c r="D2786" s="65">
        <v>8625</v>
      </c>
      <c r="F2786" s="85">
        <v>46032</v>
      </c>
      <c r="H2786"/>
      <c r="I2786"/>
    </row>
    <row r="2787" spans="1:13" x14ac:dyDescent="0.35">
      <c r="A2787" s="71">
        <f t="shared" si="87"/>
        <v>17664.099999999977</v>
      </c>
      <c r="B2787" s="72">
        <f t="shared" si="86"/>
        <v>-2240</v>
      </c>
      <c r="C2787" s="70">
        <v>2786</v>
      </c>
      <c r="E2787" s="66">
        <v>2240</v>
      </c>
      <c r="F2787" s="85">
        <v>46033</v>
      </c>
      <c r="G2787" s="64" t="s">
        <v>1545</v>
      </c>
      <c r="H2787"/>
      <c r="I2787"/>
    </row>
    <row r="2788" spans="1:13" x14ac:dyDescent="0.35">
      <c r="A2788" s="71">
        <f t="shared" si="87"/>
        <v>17614.099999999977</v>
      </c>
      <c r="B2788" s="72">
        <f t="shared" si="86"/>
        <v>-50</v>
      </c>
      <c r="C2788" s="70">
        <v>2787</v>
      </c>
      <c r="E2788" s="66">
        <v>50</v>
      </c>
      <c r="F2788" s="85">
        <v>46033</v>
      </c>
      <c r="G2788" s="64" t="s">
        <v>1531</v>
      </c>
      <c r="H2788"/>
      <c r="I2788"/>
    </row>
    <row r="2789" spans="1:13" x14ac:dyDescent="0.35">
      <c r="A2789" s="71">
        <f t="shared" si="87"/>
        <v>16264.099999999977</v>
      </c>
      <c r="B2789" s="72">
        <f t="shared" si="86"/>
        <v>-1350</v>
      </c>
      <c r="C2789" s="70">
        <v>2788</v>
      </c>
      <c r="E2789" s="66">
        <v>1350</v>
      </c>
      <c r="F2789" s="85">
        <v>46033</v>
      </c>
      <c r="G2789" s="64" t="s">
        <v>1249</v>
      </c>
      <c r="H2789"/>
      <c r="I2789"/>
    </row>
    <row r="2790" spans="1:13" x14ac:dyDescent="0.35">
      <c r="A2790" s="71">
        <f t="shared" si="87"/>
        <v>12464.099999999977</v>
      </c>
      <c r="B2790" s="72">
        <f t="shared" si="86"/>
        <v>-3800</v>
      </c>
      <c r="C2790" s="70">
        <v>2789</v>
      </c>
      <c r="D2790" s="65">
        <v>0</v>
      </c>
      <c r="E2790" s="66">
        <v>3800</v>
      </c>
      <c r="F2790" s="85">
        <v>46034</v>
      </c>
      <c r="G2790" s="64" t="s">
        <v>1533</v>
      </c>
      <c r="H2790"/>
      <c r="I2790"/>
    </row>
    <row r="2791" spans="1:13" x14ac:dyDescent="0.35">
      <c r="A2791" s="71">
        <f t="shared" si="87"/>
        <v>12364.099999999977</v>
      </c>
      <c r="B2791" s="72">
        <f t="shared" si="86"/>
        <v>-100</v>
      </c>
      <c r="C2791" s="70">
        <v>2790</v>
      </c>
      <c r="D2791" s="65">
        <v>2000</v>
      </c>
      <c r="E2791" s="66">
        <v>2100</v>
      </c>
      <c r="F2791" s="85">
        <v>46034</v>
      </c>
      <c r="G2791" s="64" t="s">
        <v>1543</v>
      </c>
      <c r="H2791"/>
      <c r="I2791"/>
    </row>
    <row r="2792" spans="1:13" x14ac:dyDescent="0.35">
      <c r="A2792" s="71">
        <f t="shared" si="87"/>
        <v>12784.099999999977</v>
      </c>
      <c r="B2792" s="72">
        <f t="shared" si="86"/>
        <v>420</v>
      </c>
      <c r="C2792" s="70">
        <v>2791</v>
      </c>
      <c r="D2792" s="65">
        <v>450</v>
      </c>
      <c r="E2792" s="66">
        <v>30</v>
      </c>
      <c r="F2792" s="85">
        <v>46034</v>
      </c>
      <c r="G2792" s="64" t="s">
        <v>1534</v>
      </c>
      <c r="H2792"/>
      <c r="I2792"/>
    </row>
    <row r="2793" spans="1:13" x14ac:dyDescent="0.35">
      <c r="A2793" s="71">
        <f t="shared" si="87"/>
        <v>12694.099999999977</v>
      </c>
      <c r="B2793" s="72">
        <f t="shared" si="86"/>
        <v>-90</v>
      </c>
      <c r="C2793" s="70">
        <v>2792</v>
      </c>
      <c r="D2793" s="65">
        <v>0</v>
      </c>
      <c r="E2793" s="66">
        <v>90</v>
      </c>
      <c r="F2793" s="85">
        <v>46034</v>
      </c>
      <c r="G2793" s="64" t="s">
        <v>437</v>
      </c>
      <c r="H2793"/>
      <c r="I2793"/>
    </row>
    <row r="2794" spans="1:13" x14ac:dyDescent="0.35">
      <c r="A2794" s="71">
        <f t="shared" si="87"/>
        <v>12394.099999999977</v>
      </c>
      <c r="B2794" s="72">
        <f t="shared" si="86"/>
        <v>-300</v>
      </c>
      <c r="C2794" s="70">
        <v>2793</v>
      </c>
      <c r="E2794" s="66">
        <v>300</v>
      </c>
      <c r="F2794" s="85">
        <v>46035</v>
      </c>
      <c r="G2794" s="64" t="s">
        <v>1536</v>
      </c>
      <c r="H2794"/>
      <c r="I2794"/>
    </row>
    <row r="2795" spans="1:13" x14ac:dyDescent="0.35">
      <c r="A2795" s="71">
        <f t="shared" si="87"/>
        <v>26544.099999999977</v>
      </c>
      <c r="B2795" s="72">
        <f t="shared" si="86"/>
        <v>14150</v>
      </c>
      <c r="C2795" s="70">
        <v>2795</v>
      </c>
      <c r="D2795" s="65">
        <v>14615</v>
      </c>
      <c r="E2795" s="66">
        <v>465</v>
      </c>
      <c r="F2795" s="85">
        <v>46035</v>
      </c>
      <c r="G2795" s="64" t="s">
        <v>1535</v>
      </c>
      <c r="H2795"/>
      <c r="I2795"/>
    </row>
    <row r="2796" spans="1:13" x14ac:dyDescent="0.35">
      <c r="A2796" s="71">
        <f t="shared" si="87"/>
        <v>41289.099999999977</v>
      </c>
      <c r="B2796" s="72">
        <f t="shared" si="86"/>
        <v>14745</v>
      </c>
      <c r="C2796" s="70">
        <v>2796</v>
      </c>
      <c r="D2796" s="65">
        <v>14765</v>
      </c>
      <c r="E2796" s="66">
        <v>20</v>
      </c>
      <c r="F2796" s="86">
        <v>46036</v>
      </c>
      <c r="G2796" s="69" t="s">
        <v>1537</v>
      </c>
      <c r="H2796"/>
      <c r="I2796"/>
    </row>
    <row r="2797" spans="1:13" x14ac:dyDescent="0.35">
      <c r="A2797" s="71">
        <f t="shared" si="87"/>
        <v>41109.099999999977</v>
      </c>
      <c r="B2797" s="72">
        <f>SUM(D2797-E2797)</f>
        <v>-180</v>
      </c>
      <c r="C2797" s="70">
        <v>-45039</v>
      </c>
      <c r="D2797" s="65">
        <v>0</v>
      </c>
      <c r="E2797" s="66">
        <v>180</v>
      </c>
      <c r="F2797" s="86">
        <v>46036</v>
      </c>
      <c r="G2797" s="69" t="s">
        <v>1553</v>
      </c>
      <c r="H2797"/>
      <c r="I2797"/>
    </row>
    <row r="2798" spans="1:13" x14ac:dyDescent="0.35">
      <c r="A2798" s="71">
        <f t="shared" si="87"/>
        <v>41049.099999999977</v>
      </c>
      <c r="B2798" s="72">
        <f t="shared" si="86"/>
        <v>-60</v>
      </c>
      <c r="C2798" s="70">
        <v>2800</v>
      </c>
      <c r="D2798" s="65">
        <v>0</v>
      </c>
      <c r="E2798" s="66">
        <v>60</v>
      </c>
      <c r="F2798" s="87">
        <v>46036</v>
      </c>
      <c r="G2798" s="69" t="s">
        <v>99</v>
      </c>
      <c r="H2798"/>
      <c r="I2798"/>
    </row>
    <row r="2799" spans="1:13" x14ac:dyDescent="0.35">
      <c r="A2799" s="71">
        <f t="shared" si="87"/>
        <v>40619.099999999977</v>
      </c>
      <c r="B2799" s="72">
        <f t="shared" si="86"/>
        <v>-430</v>
      </c>
      <c r="C2799" s="73">
        <v>2801</v>
      </c>
      <c r="D2799" s="68">
        <v>0</v>
      </c>
      <c r="E2799" s="67">
        <v>430</v>
      </c>
      <c r="F2799" s="88">
        <v>46036</v>
      </c>
      <c r="G2799" s="74" t="s">
        <v>1539</v>
      </c>
      <c r="H2799"/>
      <c r="I2799"/>
      <c r="M2799">
        <v>80000</v>
      </c>
    </row>
    <row r="2800" spans="1:13" x14ac:dyDescent="0.35">
      <c r="A2800" s="71">
        <f t="shared" si="87"/>
        <v>40159.099999999977</v>
      </c>
      <c r="B2800" s="72">
        <f t="shared" si="86"/>
        <v>-460</v>
      </c>
      <c r="C2800" s="73">
        <v>2802</v>
      </c>
      <c r="D2800" s="68">
        <v>0</v>
      </c>
      <c r="E2800" s="67">
        <v>460</v>
      </c>
      <c r="F2800" s="88">
        <v>46036</v>
      </c>
      <c r="G2800" s="74" t="s">
        <v>1043</v>
      </c>
      <c r="H2800"/>
      <c r="I2800"/>
      <c r="M2800">
        <v>850</v>
      </c>
    </row>
    <row r="2801" spans="1:13" x14ac:dyDescent="0.35">
      <c r="A2801" s="71">
        <f t="shared" si="87"/>
        <v>39889.099999999977</v>
      </c>
      <c r="B2801" s="72">
        <f t="shared" si="86"/>
        <v>-270</v>
      </c>
      <c r="C2801" s="73">
        <v>2803</v>
      </c>
      <c r="D2801" s="68">
        <v>0</v>
      </c>
      <c r="E2801" s="67">
        <v>270</v>
      </c>
      <c r="F2801" s="88">
        <v>46037</v>
      </c>
      <c r="G2801" s="74" t="s">
        <v>400</v>
      </c>
      <c r="H2801"/>
      <c r="I2801"/>
      <c r="M2801">
        <v>555</v>
      </c>
    </row>
    <row r="2802" spans="1:13" x14ac:dyDescent="0.35">
      <c r="A2802" s="71">
        <f t="shared" si="87"/>
        <v>42274.099999999977</v>
      </c>
      <c r="B2802" s="72">
        <f t="shared" si="86"/>
        <v>2385</v>
      </c>
      <c r="C2802" s="73">
        <v>2804</v>
      </c>
      <c r="D2802" s="68">
        <v>2900</v>
      </c>
      <c r="E2802" s="67">
        <v>515</v>
      </c>
      <c r="F2802" s="88">
        <v>46037</v>
      </c>
      <c r="G2802" s="74" t="s">
        <v>1540</v>
      </c>
      <c r="H2802"/>
      <c r="I2802"/>
      <c r="M2802">
        <v>5</v>
      </c>
    </row>
    <row r="2803" spans="1:13" x14ac:dyDescent="0.35">
      <c r="A2803" s="71">
        <f t="shared" si="87"/>
        <v>47564.099999999977</v>
      </c>
      <c r="B2803" s="72">
        <f t="shared" si="86"/>
        <v>5290</v>
      </c>
      <c r="C2803" s="73">
        <v>2805</v>
      </c>
      <c r="D2803" s="68">
        <v>5560</v>
      </c>
      <c r="E2803" s="67">
        <v>270</v>
      </c>
      <c r="F2803" s="88">
        <v>46039</v>
      </c>
      <c r="G2803" s="74" t="s">
        <v>437</v>
      </c>
      <c r="H2803"/>
      <c r="I2803"/>
      <c r="M2803">
        <f>SUM(M2799:M2802)</f>
        <v>81410</v>
      </c>
    </row>
    <row r="2804" spans="1:13" x14ac:dyDescent="0.35">
      <c r="A2804" s="71">
        <f t="shared" si="87"/>
        <v>46364.099999999977</v>
      </c>
      <c r="B2804" s="72">
        <f t="shared" si="86"/>
        <v>-1200</v>
      </c>
      <c r="C2804" s="73">
        <v>2806</v>
      </c>
      <c r="D2804" s="68">
        <v>0</v>
      </c>
      <c r="E2804" s="67">
        <v>1200</v>
      </c>
      <c r="F2804" s="88">
        <v>46039</v>
      </c>
      <c r="G2804" s="74" t="s">
        <v>1537</v>
      </c>
      <c r="H2804"/>
      <c r="I2804"/>
      <c r="M2804">
        <v>-80520</v>
      </c>
    </row>
    <row r="2805" spans="1:13" x14ac:dyDescent="0.35">
      <c r="A2805" s="71">
        <f t="shared" si="87"/>
        <v>46274.099999999977</v>
      </c>
      <c r="B2805" s="72">
        <f t="shared" si="86"/>
        <v>-90</v>
      </c>
      <c r="C2805" s="73">
        <v>2807</v>
      </c>
      <c r="D2805" s="68">
        <v>0</v>
      </c>
      <c r="E2805" s="67">
        <v>90</v>
      </c>
      <c r="F2805" s="88">
        <v>46036</v>
      </c>
      <c r="G2805" s="69" t="s">
        <v>437</v>
      </c>
      <c r="H2805"/>
      <c r="I2805"/>
      <c r="M2805">
        <f>SUM(M2803:M2804)</f>
        <v>890</v>
      </c>
    </row>
    <row r="2806" spans="1:13" x14ac:dyDescent="0.35">
      <c r="A2806" s="71">
        <f t="shared" si="87"/>
        <v>45274.099999999977</v>
      </c>
      <c r="B2806" s="72">
        <f t="shared" si="86"/>
        <v>-1000</v>
      </c>
      <c r="C2806" s="73">
        <v>2808</v>
      </c>
      <c r="D2806" s="68">
        <v>0</v>
      </c>
      <c r="E2806" s="67">
        <v>1000</v>
      </c>
      <c r="F2806" s="88">
        <v>46039</v>
      </c>
      <c r="G2806" s="74" t="s">
        <v>1183</v>
      </c>
      <c r="H2806"/>
      <c r="I2806"/>
    </row>
    <row r="2807" spans="1:13" x14ac:dyDescent="0.35">
      <c r="A2807" s="71">
        <f t="shared" si="87"/>
        <v>76964.099999999977</v>
      </c>
      <c r="B2807" s="72">
        <f t="shared" si="86"/>
        <v>31690</v>
      </c>
      <c r="C2807" s="73">
        <v>2811</v>
      </c>
      <c r="D2807" s="68">
        <v>32640</v>
      </c>
      <c r="E2807" s="67">
        <v>950</v>
      </c>
      <c r="F2807" s="88">
        <v>46040</v>
      </c>
      <c r="G2807" s="74" t="s">
        <v>1546</v>
      </c>
    </row>
    <row r="2808" spans="1:13" x14ac:dyDescent="0.35">
      <c r="A2808" s="71">
        <f t="shared" si="87"/>
        <v>75084.099999999977</v>
      </c>
      <c r="B2808" s="72">
        <f t="shared" si="86"/>
        <v>-1880</v>
      </c>
      <c r="C2808" s="73">
        <v>2812</v>
      </c>
      <c r="D2808" s="68"/>
      <c r="E2808" s="67">
        <v>1880</v>
      </c>
      <c r="F2808" s="88">
        <v>46040</v>
      </c>
      <c r="G2808" s="74" t="s">
        <v>244</v>
      </c>
    </row>
    <row r="2809" spans="1:13" x14ac:dyDescent="0.35">
      <c r="A2809" s="71">
        <f t="shared" si="87"/>
        <v>74994.099999999977</v>
      </c>
      <c r="B2809" s="72">
        <f t="shared" si="86"/>
        <v>-90</v>
      </c>
      <c r="C2809" s="73">
        <v>2813</v>
      </c>
      <c r="D2809" s="68"/>
      <c r="E2809" s="67">
        <v>90</v>
      </c>
      <c r="F2809" s="88">
        <v>46040</v>
      </c>
      <c r="G2809" s="74" t="s">
        <v>400</v>
      </c>
    </row>
    <row r="2810" spans="1:13" x14ac:dyDescent="0.35">
      <c r="A2810" s="71">
        <f t="shared" si="87"/>
        <v>82284.099999999977</v>
      </c>
      <c r="B2810" s="72">
        <f t="shared" si="86"/>
        <v>7290</v>
      </c>
      <c r="C2810" s="73">
        <v>2814</v>
      </c>
      <c r="D2810" s="68">
        <v>7290</v>
      </c>
      <c r="E2810" s="67">
        <v>0</v>
      </c>
      <c r="F2810" s="88">
        <v>46041</v>
      </c>
      <c r="G2810" s="74" t="s">
        <v>1550</v>
      </c>
    </row>
    <row r="2811" spans="1:13" x14ac:dyDescent="0.35">
      <c r="A2811" s="71">
        <f t="shared" si="87"/>
        <v>82194.099999999977</v>
      </c>
      <c r="B2811" s="72">
        <f t="shared" si="86"/>
        <v>-90</v>
      </c>
      <c r="C2811" s="73">
        <v>2815</v>
      </c>
      <c r="D2811" s="68"/>
      <c r="E2811" s="67">
        <v>90</v>
      </c>
      <c r="F2811" s="88">
        <v>46041</v>
      </c>
      <c r="G2811" s="74" t="s">
        <v>400</v>
      </c>
    </row>
    <row r="2812" spans="1:13" x14ac:dyDescent="0.35">
      <c r="A2812" s="71">
        <f t="shared" si="87"/>
        <v>81874.099999999977</v>
      </c>
      <c r="B2812" s="72">
        <f t="shared" si="86"/>
        <v>-320</v>
      </c>
      <c r="C2812" s="73">
        <v>2816</v>
      </c>
      <c r="D2812" s="68"/>
      <c r="E2812" s="67">
        <v>320</v>
      </c>
      <c r="F2812" s="88">
        <v>46041</v>
      </c>
      <c r="G2812" s="74" t="s">
        <v>75</v>
      </c>
    </row>
    <row r="2813" spans="1:13" x14ac:dyDescent="0.35">
      <c r="A2813" s="71">
        <f t="shared" si="87"/>
        <v>81719.099999999977</v>
      </c>
      <c r="B2813" s="72">
        <f t="shared" si="86"/>
        <v>-155</v>
      </c>
      <c r="C2813" s="73">
        <v>2817</v>
      </c>
      <c r="D2813" s="68"/>
      <c r="E2813" s="67">
        <v>155</v>
      </c>
      <c r="F2813" s="88">
        <v>46041</v>
      </c>
      <c r="G2813" s="74" t="s">
        <v>1547</v>
      </c>
    </row>
    <row r="2814" spans="1:13" x14ac:dyDescent="0.35">
      <c r="A2814" s="71">
        <f t="shared" si="87"/>
        <v>81699.099999999977</v>
      </c>
      <c r="B2814" s="72">
        <f t="shared" si="86"/>
        <v>-20</v>
      </c>
      <c r="C2814" s="73">
        <v>2819</v>
      </c>
      <c r="D2814" s="68"/>
      <c r="E2814" s="67">
        <v>20</v>
      </c>
      <c r="F2814" s="88">
        <v>46041</v>
      </c>
      <c r="G2814" s="74" t="s">
        <v>1548</v>
      </c>
    </row>
    <row r="2815" spans="1:13" x14ac:dyDescent="0.35">
      <c r="A2815" s="71">
        <f t="shared" si="87"/>
        <v>81699.099999999977</v>
      </c>
      <c r="B2815" s="72">
        <f t="shared" si="86"/>
        <v>0</v>
      </c>
      <c r="C2815" s="73">
        <v>2820</v>
      </c>
      <c r="D2815" s="68">
        <v>30</v>
      </c>
      <c r="E2815" s="89">
        <v>30</v>
      </c>
      <c r="F2815" s="88">
        <v>46041</v>
      </c>
      <c r="G2815" s="74" t="s">
        <v>332</v>
      </c>
    </row>
    <row r="2816" spans="1:13" x14ac:dyDescent="0.35">
      <c r="A2816" s="71">
        <f t="shared" si="87"/>
        <v>81179.099999999977</v>
      </c>
      <c r="B2816" s="72">
        <f t="shared" si="86"/>
        <v>-520</v>
      </c>
      <c r="C2816" s="73">
        <v>2821</v>
      </c>
      <c r="D2816" s="68"/>
      <c r="E2816" s="67">
        <v>520</v>
      </c>
      <c r="F2816" s="88">
        <v>46042</v>
      </c>
      <c r="G2816" s="74" t="s">
        <v>1549</v>
      </c>
    </row>
    <row r="2817" spans="1:13" x14ac:dyDescent="0.35">
      <c r="A2817" s="71">
        <f t="shared" si="87"/>
        <v>80179.099999999977</v>
      </c>
      <c r="B2817" s="72">
        <f t="shared" si="86"/>
        <v>-1000</v>
      </c>
      <c r="C2817" s="73">
        <v>2823</v>
      </c>
      <c r="D2817" s="68"/>
      <c r="E2817" s="67">
        <v>1000</v>
      </c>
      <c r="F2817" s="88">
        <v>46042</v>
      </c>
      <c r="G2817" s="74" t="s">
        <v>1552</v>
      </c>
    </row>
    <row r="2818" spans="1:13" x14ac:dyDescent="0.35">
      <c r="A2818" s="71">
        <f t="shared" si="87"/>
        <v>78679.099999999977</v>
      </c>
      <c r="B2818" s="72">
        <f t="shared" si="86"/>
        <v>-1500</v>
      </c>
      <c r="C2818" s="73">
        <v>2824</v>
      </c>
      <c r="D2818" s="68"/>
      <c r="E2818" s="67">
        <v>1500</v>
      </c>
      <c r="F2818" s="88">
        <v>46042</v>
      </c>
      <c r="G2818" s="74" t="s">
        <v>1537</v>
      </c>
    </row>
    <row r="2819" spans="1:13" x14ac:dyDescent="0.35">
      <c r="A2819" s="71">
        <f t="shared" si="87"/>
        <v>77679.099999999977</v>
      </c>
      <c r="B2819" s="72">
        <f t="shared" ref="B2819:B2833" si="88">SUM(D2819-E2819)</f>
        <v>-1000</v>
      </c>
      <c r="C2819" s="73">
        <v>2825</v>
      </c>
      <c r="D2819" s="68"/>
      <c r="E2819" s="67">
        <v>1000</v>
      </c>
      <c r="F2819" s="88">
        <v>46042</v>
      </c>
      <c r="G2819" s="74" t="s">
        <v>1551</v>
      </c>
    </row>
    <row r="2820" spans="1:13" x14ac:dyDescent="0.35">
      <c r="A2820" s="71">
        <f t="shared" si="87"/>
        <v>73679.099999999977</v>
      </c>
      <c r="B2820" s="72">
        <f t="shared" si="88"/>
        <v>-4000</v>
      </c>
      <c r="C2820" s="73">
        <v>2826</v>
      </c>
      <c r="D2820" s="68"/>
      <c r="E2820" s="67">
        <v>4000</v>
      </c>
      <c r="F2820" s="88">
        <v>46042</v>
      </c>
      <c r="G2820" s="74" t="s">
        <v>174</v>
      </c>
    </row>
    <row r="2821" spans="1:13" x14ac:dyDescent="0.35">
      <c r="A2821" s="71">
        <f t="shared" ref="A2821:A2833" si="89">SUM(A2820+B2821)</f>
        <v>70679.099999999977</v>
      </c>
      <c r="B2821" s="72">
        <f t="shared" si="88"/>
        <v>-3000</v>
      </c>
      <c r="C2821" s="73">
        <v>2827</v>
      </c>
      <c r="D2821" s="68"/>
      <c r="E2821" s="67">
        <v>3000</v>
      </c>
      <c r="F2821" s="88">
        <v>46042</v>
      </c>
      <c r="G2821" s="74" t="s">
        <v>1249</v>
      </c>
      <c r="M2821">
        <v>90000</v>
      </c>
    </row>
    <row r="2822" spans="1:13" x14ac:dyDescent="0.35">
      <c r="A2822" s="71">
        <f t="shared" si="89"/>
        <v>108689.09999999998</v>
      </c>
      <c r="B2822" s="72">
        <f t="shared" si="88"/>
        <v>38010</v>
      </c>
      <c r="C2822" s="73">
        <v>2828</v>
      </c>
      <c r="D2822" s="68">
        <v>38100</v>
      </c>
      <c r="E2822" s="67">
        <v>90</v>
      </c>
      <c r="F2822" s="88">
        <v>46042</v>
      </c>
      <c r="G2822" s="74" t="s">
        <v>437</v>
      </c>
      <c r="M2822">
        <v>9650</v>
      </c>
    </row>
    <row r="2823" spans="1:13" x14ac:dyDescent="0.35">
      <c r="A2823" s="71">
        <f t="shared" si="89"/>
        <v>108549.09999999998</v>
      </c>
      <c r="B2823" s="72">
        <f t="shared" si="88"/>
        <v>-140</v>
      </c>
      <c r="C2823" s="73">
        <v>2829</v>
      </c>
      <c r="D2823" s="68"/>
      <c r="E2823" s="67">
        <v>140</v>
      </c>
      <c r="F2823" s="88">
        <v>46042</v>
      </c>
      <c r="G2823" s="74" t="s">
        <v>1554</v>
      </c>
      <c r="M2823">
        <v>630</v>
      </c>
    </row>
    <row r="2824" spans="1:13" x14ac:dyDescent="0.35">
      <c r="A2824" s="71">
        <f t="shared" si="89"/>
        <v>108549.09999999998</v>
      </c>
      <c r="B2824" s="72">
        <f t="shared" si="88"/>
        <v>0</v>
      </c>
      <c r="M2824">
        <v>5</v>
      </c>
    </row>
    <row r="2825" spans="1:13" x14ac:dyDescent="0.35">
      <c r="A2825" s="71">
        <f t="shared" si="89"/>
        <v>133919.09999999998</v>
      </c>
      <c r="B2825" s="72">
        <f t="shared" si="88"/>
        <v>25370</v>
      </c>
      <c r="C2825" s="70">
        <v>2830</v>
      </c>
      <c r="D2825" s="65">
        <v>25570</v>
      </c>
      <c r="E2825" s="66">
        <v>200</v>
      </c>
      <c r="F2825" s="85">
        <v>46043</v>
      </c>
      <c r="G2825" s="64" t="s">
        <v>65</v>
      </c>
      <c r="M2825">
        <f>SUM(M2821:M2824)</f>
        <v>100285</v>
      </c>
    </row>
    <row r="2826" spans="1:13" x14ac:dyDescent="0.35">
      <c r="A2826" s="71">
        <f t="shared" si="89"/>
        <v>133804.09999999998</v>
      </c>
      <c r="B2826" s="72">
        <f t="shared" si="88"/>
        <v>-115</v>
      </c>
      <c r="C2826" s="70">
        <v>2831</v>
      </c>
      <c r="E2826" s="66">
        <v>115</v>
      </c>
      <c r="F2826" s="85">
        <v>46043</v>
      </c>
      <c r="G2826" s="64" t="s">
        <v>250</v>
      </c>
    </row>
    <row r="2827" spans="1:13" x14ac:dyDescent="0.35">
      <c r="A2827" s="71">
        <f t="shared" si="89"/>
        <v>133704.09999999998</v>
      </c>
      <c r="B2827" s="72">
        <f t="shared" si="88"/>
        <v>-100</v>
      </c>
      <c r="C2827" s="70">
        <v>2832</v>
      </c>
      <c r="E2827" s="66">
        <v>100</v>
      </c>
      <c r="F2827" s="85">
        <v>46043</v>
      </c>
      <c r="G2827" s="64" t="s">
        <v>1555</v>
      </c>
    </row>
    <row r="2828" spans="1:13" x14ac:dyDescent="0.35">
      <c r="A2828" s="71">
        <f t="shared" si="89"/>
        <v>130704.09999999998</v>
      </c>
      <c r="B2828" s="72">
        <f t="shared" si="88"/>
        <v>-3000</v>
      </c>
      <c r="C2828" s="90">
        <v>2834</v>
      </c>
      <c r="D2828" s="91"/>
      <c r="E2828" s="92">
        <v>3000</v>
      </c>
      <c r="F2828" s="85">
        <v>46043</v>
      </c>
      <c r="G2828" s="93" t="s">
        <v>177</v>
      </c>
    </row>
    <row r="2829" spans="1:13" x14ac:dyDescent="0.35">
      <c r="A2829" s="71">
        <f t="shared" si="89"/>
        <v>130524.09999999998</v>
      </c>
      <c r="B2829" s="72">
        <f t="shared" si="88"/>
        <v>-180</v>
      </c>
      <c r="C2829" s="90">
        <v>2836</v>
      </c>
      <c r="D2829" s="108"/>
      <c r="E2829" s="111">
        <v>180</v>
      </c>
      <c r="F2829" s="109">
        <v>46043</v>
      </c>
      <c r="G2829" s="110" t="s">
        <v>437</v>
      </c>
    </row>
    <row r="2830" spans="1:13" x14ac:dyDescent="0.35">
      <c r="A2830" s="71">
        <f t="shared" si="89"/>
        <v>100524.09999999998</v>
      </c>
      <c r="B2830" s="72">
        <f t="shared" si="88"/>
        <v>-30000</v>
      </c>
      <c r="C2830" s="70">
        <v>2835</v>
      </c>
      <c r="E2830" s="66">
        <v>30000</v>
      </c>
      <c r="F2830" s="85">
        <v>46044</v>
      </c>
      <c r="G2830" s="64" t="s">
        <v>1556</v>
      </c>
    </row>
    <row r="2831" spans="1:13" x14ac:dyDescent="0.35">
      <c r="A2831" s="71">
        <f t="shared" si="89"/>
        <v>100524.09999999998</v>
      </c>
      <c r="B2831" s="72">
        <f t="shared" si="88"/>
        <v>0</v>
      </c>
      <c r="C2831" s="70">
        <v>2838</v>
      </c>
      <c r="D2831" s="65">
        <v>2000</v>
      </c>
      <c r="E2831" s="66">
        <v>2000</v>
      </c>
      <c r="F2831" s="85">
        <v>46044</v>
      </c>
      <c r="G2831" s="64" t="s">
        <v>1557</v>
      </c>
    </row>
    <row r="2832" spans="1:13" x14ac:dyDescent="0.35">
      <c r="A2832" s="71">
        <f t="shared" si="89"/>
        <v>102699.09999999998</v>
      </c>
      <c r="B2832" s="72">
        <f t="shared" si="88"/>
        <v>2175</v>
      </c>
      <c r="C2832" s="70">
        <v>2837</v>
      </c>
      <c r="D2832" s="65">
        <v>2175</v>
      </c>
      <c r="F2832" s="85">
        <v>46044</v>
      </c>
      <c r="G2832" s="64" t="s">
        <v>12</v>
      </c>
    </row>
    <row r="2833" spans="1:7" x14ac:dyDescent="0.35">
      <c r="A2833" s="71">
        <f t="shared" si="89"/>
        <v>102599.09999999998</v>
      </c>
      <c r="B2833" s="72">
        <f t="shared" si="88"/>
        <v>-100</v>
      </c>
      <c r="C2833" s="70">
        <v>2839</v>
      </c>
      <c r="E2833" s="66">
        <v>100</v>
      </c>
      <c r="G2833" s="64" t="s">
        <v>2</v>
      </c>
    </row>
  </sheetData>
  <phoneticPr fontId="18" type="noConversion"/>
  <conditionalFormatting sqref="A1:M2823 C2824:M2825 A2824:B2833">
    <cfRule type="containsText" dxfId="12" priority="1" operator="containsText" text="اوفو">
      <formula>NOT(ISERROR(SEARCH("اوفو",A1)))</formula>
    </cfRule>
  </conditionalFormatting>
  <conditionalFormatting sqref="A1:M2823 C2824:M2825 A2824:B2833">
    <cfRule type="containsText" dxfId="11" priority="2" operator="containsText" text="نوري">
      <formula>NOT(ISERROR(SEARCH("نوري",A1)))</formula>
    </cfRule>
  </conditionalFormatting>
  <conditionalFormatting sqref="A1:M2823 C2824:M2825 A2824:B2833">
    <cfRule type="containsText" dxfId="10" priority="3" operator="containsText" text="جولد">
      <formula>NOT(ISERROR(SEARCH("جولد",A1)))</formula>
    </cfRule>
  </conditionalFormatting>
  <conditionalFormatting sqref="A1:M2823 C2824:M2825 A2824:B2833">
    <cfRule type="containsText" dxfId="9" priority="4" operator="containsText" text="شعاع">
      <formula>NOT(ISERROR(SEARCH("شعاع",A1)))</formula>
    </cfRule>
  </conditionalFormatting>
  <conditionalFormatting sqref="A1:M2823 C2824:M2825 A2824:B2833">
    <cfRule type="containsText" dxfId="8" priority="5" operator="containsText" text="د السعدني">
      <formula>NOT(ISERROR(SEARCH("د السعدني",A1)))</formula>
    </cfRule>
  </conditionalFormatting>
  <conditionalFormatting sqref="A1:M2823 C2824:M2825 A2824:B2833">
    <cfRule type="containsText" dxfId="7" priority="6" operator="containsText" text="الدكتوره">
      <formula>NOT(ISERROR(SEARCH("الدكتوره",A1)))</formula>
    </cfRule>
  </conditionalFormatting>
  <conditionalFormatting sqref="A1:M2823 C2824:M2825 A2824:B2833">
    <cfRule type="containsText" dxfId="6" priority="7" operator="containsText" text="الدكتورة">
      <formula>NOT(ISERROR(SEARCH("الدكتورة",A1)))</formula>
    </cfRule>
  </conditionalFormatting>
  <conditionalFormatting sqref="A1:M2823 C2824:M2825 A2824:B2833">
    <cfRule type="containsText" dxfId="5" priority="8" operator="containsText" text="ابو يوسف">
      <formula>NOT(ISERROR(SEARCH("ابو يوسف",A1)))</formula>
    </cfRule>
  </conditionalFormatting>
  <conditionalFormatting sqref="A1:M2823 C2824:M2825 A2824:B2833">
    <cfRule type="containsText" dxfId="4" priority="9" operator="containsText" text="البنات">
      <formula>NOT(ISERROR(SEARCH("البنات",A1)))</formula>
    </cfRule>
  </conditionalFormatting>
  <conditionalFormatting sqref="A1:M2823 C2824:M2825 A2824:B2833">
    <cfRule type="containsText" dxfId="3" priority="10" operator="containsText" text="هشام">
      <formula>NOT(ISERROR(SEARCH("هشام",A1)))</formula>
    </cfRule>
  </conditionalFormatting>
  <conditionalFormatting sqref="A1:M2823 C2824:M2825 A2824:B2833">
    <cfRule type="containsText" dxfId="2" priority="11" operator="containsText" text="فيزا">
      <formula>NOT(ISERROR(SEARCH("فيزا",A1)))</formula>
    </cfRule>
  </conditionalFormatting>
  <conditionalFormatting sqref="A1:M2823 C2824:M2825 A2824:B2833">
    <cfRule type="containsText" dxfId="1" priority="12" operator="containsText" text="ميناتورز">
      <formula>NOT(ISERROR(SEARCH("ميناتورز",A1)))</formula>
    </cfRule>
  </conditionalFormatting>
  <conditionalFormatting sqref="A1:M2823 C2824:M2825 A2824:B2833">
    <cfRule type="containsText" dxfId="0" priority="13" operator="containsText" text="انستا">
      <formula>NOT(ISERROR(SEARCH("انستا",A1)))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DDACA-042F-44EE-8AEB-F20DC5364DBD}">
  <sheetPr codeName="Sheet2"/>
  <dimension ref="A1:K294"/>
  <sheetViews>
    <sheetView rightToLeft="1" workbookViewId="0">
      <selection activeCell="H118" sqref="H118"/>
    </sheetView>
  </sheetViews>
  <sheetFormatPr defaultRowHeight="23.25" x14ac:dyDescent="0.35"/>
  <cols>
    <col min="1" max="1" width="15.85546875" style="63" bestFit="1" customWidth="1"/>
    <col min="2" max="2" width="12.5703125" style="63" bestFit="1" customWidth="1"/>
    <col min="3" max="3" width="34.42578125" style="63" bestFit="1" customWidth="1"/>
    <col min="8" max="8" width="19.42578125" customWidth="1"/>
    <col min="9" max="9" width="21.7109375" customWidth="1"/>
  </cols>
  <sheetData>
    <row r="1" spans="1:11" x14ac:dyDescent="0.35">
      <c r="A1" s="59" t="s">
        <v>10</v>
      </c>
      <c r="B1" s="59" t="s">
        <v>1015</v>
      </c>
      <c r="C1" s="59" t="s">
        <v>1165</v>
      </c>
      <c r="H1" s="18" t="s">
        <v>1226</v>
      </c>
      <c r="I1" s="19" t="s">
        <v>1015</v>
      </c>
    </row>
    <row r="2" spans="1:11" x14ac:dyDescent="0.35">
      <c r="A2" s="60">
        <v>45658</v>
      </c>
      <c r="B2" s="59">
        <v>400</v>
      </c>
      <c r="C2" s="59" t="s">
        <v>1166</v>
      </c>
      <c r="G2">
        <v>6200</v>
      </c>
      <c r="H2" s="20" t="s">
        <v>1227</v>
      </c>
      <c r="I2" s="21">
        <v>605637</v>
      </c>
    </row>
    <row r="3" spans="1:11" x14ac:dyDescent="0.35">
      <c r="A3" s="60">
        <v>45661</v>
      </c>
      <c r="B3" s="59">
        <v>200</v>
      </c>
      <c r="C3" s="59" t="s">
        <v>1162</v>
      </c>
      <c r="G3">
        <v>16600</v>
      </c>
      <c r="H3" s="20" t="s">
        <v>33</v>
      </c>
      <c r="I3" s="21">
        <v>-73600</v>
      </c>
    </row>
    <row r="4" spans="1:11" x14ac:dyDescent="0.35">
      <c r="A4" s="60">
        <v>45661</v>
      </c>
      <c r="B4" s="59">
        <v>500</v>
      </c>
      <c r="C4" s="59" t="s">
        <v>27</v>
      </c>
      <c r="G4">
        <v>16000</v>
      </c>
      <c r="H4" s="20" t="s">
        <v>12</v>
      </c>
      <c r="I4" s="21">
        <v>-111160</v>
      </c>
    </row>
    <row r="5" spans="1:11" x14ac:dyDescent="0.35">
      <c r="A5" s="61">
        <v>45661</v>
      </c>
      <c r="B5" s="62"/>
      <c r="C5" s="62" t="s">
        <v>1167</v>
      </c>
      <c r="G5">
        <v>73617</v>
      </c>
      <c r="H5" s="20" t="s">
        <v>683</v>
      </c>
      <c r="I5" s="21">
        <v>-97560</v>
      </c>
    </row>
    <row r="6" spans="1:11" x14ac:dyDescent="0.35">
      <c r="A6" s="61">
        <v>45662</v>
      </c>
      <c r="B6" s="62"/>
      <c r="C6" s="62" t="s">
        <v>683</v>
      </c>
      <c r="G6">
        <v>46000</v>
      </c>
      <c r="H6" s="20" t="s">
        <v>1228</v>
      </c>
      <c r="I6" s="21">
        <v>-3000</v>
      </c>
    </row>
    <row r="7" spans="1:11" x14ac:dyDescent="0.35">
      <c r="A7" s="60">
        <v>45662</v>
      </c>
      <c r="B7" s="59">
        <v>850</v>
      </c>
      <c r="C7" s="59" t="s">
        <v>1168</v>
      </c>
      <c r="G7">
        <v>15000</v>
      </c>
      <c r="H7" s="94" t="s">
        <v>1226</v>
      </c>
      <c r="I7" s="96">
        <f>SUM(I2:I6)</f>
        <v>320317</v>
      </c>
    </row>
    <row r="8" spans="1:11" ht="24" thickBot="1" x14ac:dyDescent="0.4">
      <c r="A8" s="60">
        <v>45663</v>
      </c>
      <c r="B8" s="59">
        <v>3300</v>
      </c>
      <c r="C8" s="59" t="s">
        <v>177</v>
      </c>
      <c r="G8">
        <f>SUM(G1:G7)</f>
        <v>173417</v>
      </c>
      <c r="H8" s="95"/>
      <c r="I8" s="97"/>
      <c r="K8">
        <v>58600</v>
      </c>
    </row>
    <row r="9" spans="1:11" x14ac:dyDescent="0.35">
      <c r="A9" s="60">
        <v>45664</v>
      </c>
      <c r="B9" s="59">
        <v>700</v>
      </c>
      <c r="C9" s="59" t="s">
        <v>1169</v>
      </c>
    </row>
    <row r="10" spans="1:11" x14ac:dyDescent="0.35">
      <c r="A10" s="60">
        <v>45665</v>
      </c>
      <c r="B10" s="59">
        <v>4000</v>
      </c>
      <c r="C10" s="59" t="s">
        <v>1170</v>
      </c>
    </row>
    <row r="11" spans="1:11" x14ac:dyDescent="0.35">
      <c r="A11" s="60">
        <v>45671</v>
      </c>
      <c r="B11" s="59">
        <v>850</v>
      </c>
      <c r="C11" s="59" t="s">
        <v>177</v>
      </c>
    </row>
    <row r="12" spans="1:11" x14ac:dyDescent="0.35">
      <c r="A12" s="60">
        <v>45672</v>
      </c>
      <c r="B12" s="59">
        <v>2000</v>
      </c>
      <c r="C12" s="59" t="s">
        <v>1171</v>
      </c>
    </row>
    <row r="13" spans="1:11" x14ac:dyDescent="0.35">
      <c r="A13" s="60">
        <v>45680</v>
      </c>
      <c r="B13" s="59">
        <v>100</v>
      </c>
      <c r="C13" s="59" t="s">
        <v>1172</v>
      </c>
    </row>
    <row r="14" spans="1:11" x14ac:dyDescent="0.35">
      <c r="A14" s="60">
        <v>45680</v>
      </c>
      <c r="B14" s="59">
        <v>1880</v>
      </c>
      <c r="C14" s="59" t="s">
        <v>1173</v>
      </c>
    </row>
    <row r="15" spans="1:11" x14ac:dyDescent="0.35">
      <c r="A15" s="60">
        <v>45685</v>
      </c>
      <c r="B15" s="59">
        <v>3000</v>
      </c>
      <c r="C15" s="59" t="s">
        <v>1174</v>
      </c>
    </row>
    <row r="16" spans="1:11" x14ac:dyDescent="0.35">
      <c r="A16" s="60">
        <v>45686</v>
      </c>
      <c r="B16" s="59">
        <v>2000</v>
      </c>
      <c r="C16" s="59" t="s">
        <v>1175</v>
      </c>
    </row>
    <row r="17" spans="1:3" x14ac:dyDescent="0.35">
      <c r="A17" s="60">
        <v>45692</v>
      </c>
      <c r="B17" s="59">
        <v>40000</v>
      </c>
      <c r="C17" s="59" t="s">
        <v>1176</v>
      </c>
    </row>
    <row r="18" spans="1:3" x14ac:dyDescent="0.35">
      <c r="A18" s="60">
        <v>45692</v>
      </c>
      <c r="B18" s="59">
        <v>5000</v>
      </c>
      <c r="C18" s="59" t="s">
        <v>1171</v>
      </c>
    </row>
    <row r="19" spans="1:3" x14ac:dyDescent="0.35">
      <c r="A19" s="60">
        <v>45693</v>
      </c>
      <c r="B19" s="59">
        <v>1500</v>
      </c>
      <c r="C19" s="59" t="s">
        <v>177</v>
      </c>
    </row>
    <row r="20" spans="1:3" x14ac:dyDescent="0.35">
      <c r="A20" s="60">
        <v>45696</v>
      </c>
      <c r="B20" s="59">
        <v>500</v>
      </c>
      <c r="C20" s="59" t="s">
        <v>177</v>
      </c>
    </row>
    <row r="21" spans="1:3" x14ac:dyDescent="0.35">
      <c r="A21" s="60">
        <v>45696</v>
      </c>
      <c r="B21" s="59">
        <v>5000</v>
      </c>
      <c r="C21" s="59" t="s">
        <v>1177</v>
      </c>
    </row>
    <row r="22" spans="1:3" x14ac:dyDescent="0.35">
      <c r="A22" s="60">
        <v>45696</v>
      </c>
      <c r="B22" s="59">
        <v>4500</v>
      </c>
      <c r="C22" s="59" t="s">
        <v>1178</v>
      </c>
    </row>
    <row r="23" spans="1:3" x14ac:dyDescent="0.35">
      <c r="A23" s="60">
        <v>45697</v>
      </c>
      <c r="B23" s="59">
        <v>2000</v>
      </c>
      <c r="C23" s="59" t="s">
        <v>571</v>
      </c>
    </row>
    <row r="24" spans="1:3" x14ac:dyDescent="0.35">
      <c r="A24" s="60">
        <v>45697</v>
      </c>
      <c r="B24" s="59">
        <v>1200</v>
      </c>
      <c r="C24" s="59" t="s">
        <v>1179</v>
      </c>
    </row>
    <row r="25" spans="1:3" x14ac:dyDescent="0.35">
      <c r="A25" s="60">
        <v>45698</v>
      </c>
      <c r="B25" s="59">
        <v>3000</v>
      </c>
      <c r="C25" s="59" t="s">
        <v>1180</v>
      </c>
    </row>
    <row r="26" spans="1:3" x14ac:dyDescent="0.35">
      <c r="A26" s="60">
        <v>45699</v>
      </c>
      <c r="B26" s="59">
        <v>600</v>
      </c>
      <c r="C26" s="59" t="s">
        <v>1031</v>
      </c>
    </row>
    <row r="27" spans="1:3" x14ac:dyDescent="0.35">
      <c r="A27" s="60">
        <v>45699</v>
      </c>
      <c r="B27" s="59">
        <v>5000</v>
      </c>
      <c r="C27" s="59" t="s">
        <v>1181</v>
      </c>
    </row>
    <row r="28" spans="1:3" x14ac:dyDescent="0.35">
      <c r="A28" s="60">
        <v>45704</v>
      </c>
      <c r="B28" s="59">
        <v>400</v>
      </c>
      <c r="C28" s="59" t="s">
        <v>805</v>
      </c>
    </row>
    <row r="29" spans="1:3" x14ac:dyDescent="0.35">
      <c r="A29" s="60">
        <v>45704</v>
      </c>
      <c r="B29" s="59">
        <v>145</v>
      </c>
      <c r="C29" s="59" t="s">
        <v>1162</v>
      </c>
    </row>
    <row r="30" spans="1:3" x14ac:dyDescent="0.35">
      <c r="A30" s="60">
        <v>45704</v>
      </c>
      <c r="B30" s="59">
        <v>1500</v>
      </c>
      <c r="C30" s="59" t="s">
        <v>177</v>
      </c>
    </row>
    <row r="31" spans="1:3" x14ac:dyDescent="0.35">
      <c r="A31" s="60">
        <v>45704</v>
      </c>
      <c r="B31" s="59">
        <v>2000</v>
      </c>
      <c r="C31" s="59" t="s">
        <v>1182</v>
      </c>
    </row>
    <row r="32" spans="1:3" x14ac:dyDescent="0.35">
      <c r="A32" s="60">
        <v>45707</v>
      </c>
      <c r="B32" s="59">
        <v>1600</v>
      </c>
      <c r="C32" s="59" t="s">
        <v>177</v>
      </c>
    </row>
    <row r="33" spans="1:3" x14ac:dyDescent="0.35">
      <c r="A33" s="60">
        <v>45708</v>
      </c>
      <c r="B33" s="59">
        <v>1100</v>
      </c>
      <c r="C33" s="59" t="s">
        <v>1183</v>
      </c>
    </row>
    <row r="34" spans="1:3" x14ac:dyDescent="0.35">
      <c r="A34" s="60">
        <v>45710</v>
      </c>
      <c r="B34" s="59">
        <v>30000</v>
      </c>
      <c r="C34" s="59" t="s">
        <v>1178</v>
      </c>
    </row>
    <row r="35" spans="1:3" x14ac:dyDescent="0.35">
      <c r="A35" s="60">
        <v>45711</v>
      </c>
      <c r="B35" s="59">
        <v>1000</v>
      </c>
      <c r="C35" s="59" t="s">
        <v>1184</v>
      </c>
    </row>
    <row r="36" spans="1:3" x14ac:dyDescent="0.35">
      <c r="A36" s="60">
        <v>45712</v>
      </c>
      <c r="B36" s="59">
        <v>1880</v>
      </c>
      <c r="C36" s="59" t="s">
        <v>244</v>
      </c>
    </row>
    <row r="37" spans="1:3" x14ac:dyDescent="0.35">
      <c r="A37" s="60">
        <v>45713</v>
      </c>
      <c r="B37" s="59">
        <v>2020</v>
      </c>
      <c r="C37" s="59" t="s">
        <v>177</v>
      </c>
    </row>
    <row r="38" spans="1:3" x14ac:dyDescent="0.35">
      <c r="A38" s="60">
        <v>45713</v>
      </c>
      <c r="B38" s="59">
        <v>800</v>
      </c>
      <c r="C38" s="59" t="s">
        <v>1185</v>
      </c>
    </row>
    <row r="39" spans="1:3" x14ac:dyDescent="0.35">
      <c r="A39" s="60">
        <v>45713</v>
      </c>
      <c r="B39" s="59">
        <v>500</v>
      </c>
      <c r="C39" s="59" t="s">
        <v>1186</v>
      </c>
    </row>
    <row r="40" spans="1:3" x14ac:dyDescent="0.35">
      <c r="A40" s="60">
        <v>45714</v>
      </c>
      <c r="B40" s="59">
        <v>1000</v>
      </c>
      <c r="C40" s="59" t="s">
        <v>1172</v>
      </c>
    </row>
    <row r="41" spans="1:3" x14ac:dyDescent="0.35">
      <c r="A41" s="60">
        <v>45718</v>
      </c>
      <c r="B41" s="59">
        <v>500</v>
      </c>
      <c r="C41" s="59" t="s">
        <v>27</v>
      </c>
    </row>
    <row r="42" spans="1:3" x14ac:dyDescent="0.35">
      <c r="A42" s="61">
        <v>45718</v>
      </c>
      <c r="B42" s="62"/>
      <c r="C42" s="62" t="s">
        <v>683</v>
      </c>
    </row>
    <row r="43" spans="1:3" x14ac:dyDescent="0.35">
      <c r="A43" s="60">
        <v>45718</v>
      </c>
      <c r="B43" s="59">
        <v>150</v>
      </c>
      <c r="C43" s="59" t="s">
        <v>1162</v>
      </c>
    </row>
    <row r="44" spans="1:3" x14ac:dyDescent="0.35">
      <c r="A44" s="60">
        <v>45720</v>
      </c>
      <c r="B44" s="59">
        <v>1500</v>
      </c>
      <c r="C44" s="59" t="s">
        <v>177</v>
      </c>
    </row>
    <row r="45" spans="1:3" x14ac:dyDescent="0.35">
      <c r="A45" s="60">
        <v>45721</v>
      </c>
      <c r="B45" s="59">
        <v>620</v>
      </c>
      <c r="C45" s="59" t="s">
        <v>14</v>
      </c>
    </row>
    <row r="46" spans="1:3" x14ac:dyDescent="0.35">
      <c r="A46" s="61">
        <v>45726</v>
      </c>
      <c r="B46" s="62"/>
      <c r="C46" s="62" t="s">
        <v>683</v>
      </c>
    </row>
    <row r="47" spans="1:3" x14ac:dyDescent="0.35">
      <c r="A47" s="60">
        <v>45727</v>
      </c>
      <c r="B47" s="59">
        <v>2000</v>
      </c>
      <c r="C47" s="59" t="s">
        <v>1187</v>
      </c>
    </row>
    <row r="48" spans="1:3" x14ac:dyDescent="0.35">
      <c r="A48" s="60">
        <v>45728</v>
      </c>
      <c r="B48" s="59">
        <v>450</v>
      </c>
      <c r="C48" s="59" t="s">
        <v>1162</v>
      </c>
    </row>
    <row r="49" spans="1:3" x14ac:dyDescent="0.35">
      <c r="A49" s="60">
        <v>45731</v>
      </c>
      <c r="B49" s="59">
        <v>1880</v>
      </c>
      <c r="C49" s="59" t="s">
        <v>244</v>
      </c>
    </row>
    <row r="50" spans="1:3" x14ac:dyDescent="0.35">
      <c r="A50" s="60">
        <v>45732</v>
      </c>
      <c r="B50" s="59">
        <v>300</v>
      </c>
      <c r="C50" s="59" t="s">
        <v>1188</v>
      </c>
    </row>
    <row r="51" spans="1:3" x14ac:dyDescent="0.35">
      <c r="A51" s="60">
        <v>45733</v>
      </c>
      <c r="B51" s="59">
        <v>100</v>
      </c>
      <c r="C51" s="59" t="s">
        <v>1189</v>
      </c>
    </row>
    <row r="52" spans="1:3" x14ac:dyDescent="0.35">
      <c r="A52" s="60">
        <v>45739</v>
      </c>
      <c r="B52" s="59">
        <v>2000</v>
      </c>
      <c r="C52" s="59" t="s">
        <v>1171</v>
      </c>
    </row>
    <row r="53" spans="1:3" x14ac:dyDescent="0.35">
      <c r="A53" s="60">
        <v>45742</v>
      </c>
      <c r="B53" s="59">
        <v>500</v>
      </c>
      <c r="C53" s="59" t="s">
        <v>1190</v>
      </c>
    </row>
    <row r="54" spans="1:3" x14ac:dyDescent="0.35">
      <c r="A54" s="60">
        <v>45742</v>
      </c>
      <c r="B54" s="59">
        <v>600</v>
      </c>
      <c r="C54" s="59" t="s">
        <v>1191</v>
      </c>
    </row>
    <row r="55" spans="1:3" x14ac:dyDescent="0.35">
      <c r="A55" s="60">
        <v>45742</v>
      </c>
      <c r="B55" s="59">
        <v>2000</v>
      </c>
      <c r="C55" s="59" t="s">
        <v>571</v>
      </c>
    </row>
    <row r="56" spans="1:3" x14ac:dyDescent="0.35">
      <c r="A56" s="60">
        <v>45743</v>
      </c>
      <c r="B56" s="59">
        <v>7000</v>
      </c>
      <c r="C56" s="59" t="s">
        <v>683</v>
      </c>
    </row>
    <row r="57" spans="1:3" x14ac:dyDescent="0.35">
      <c r="A57" s="60">
        <v>45743</v>
      </c>
      <c r="B57" s="59">
        <v>2000</v>
      </c>
      <c r="C57" s="59" t="s">
        <v>27</v>
      </c>
    </row>
    <row r="58" spans="1:3" x14ac:dyDescent="0.35">
      <c r="A58" s="60">
        <v>45745</v>
      </c>
      <c r="B58" s="59">
        <v>3000</v>
      </c>
      <c r="C58" s="59" t="s">
        <v>177</v>
      </c>
    </row>
    <row r="59" spans="1:3" x14ac:dyDescent="0.35">
      <c r="A59" s="60">
        <v>45755</v>
      </c>
      <c r="B59" s="59">
        <v>2000</v>
      </c>
      <c r="C59" s="59" t="s">
        <v>1192</v>
      </c>
    </row>
    <row r="60" spans="1:3" x14ac:dyDescent="0.35">
      <c r="A60" s="60">
        <v>45760</v>
      </c>
      <c r="B60" s="59">
        <v>240</v>
      </c>
      <c r="C60" s="59" t="s">
        <v>1188</v>
      </c>
    </row>
    <row r="61" spans="1:3" x14ac:dyDescent="0.35">
      <c r="A61" s="60">
        <v>45761</v>
      </c>
      <c r="B61" s="59">
        <v>1880</v>
      </c>
      <c r="C61" s="59" t="s">
        <v>244</v>
      </c>
    </row>
    <row r="62" spans="1:3" x14ac:dyDescent="0.35">
      <c r="A62" s="60">
        <v>45762</v>
      </c>
      <c r="B62" s="59">
        <v>1000</v>
      </c>
      <c r="C62" s="59" t="s">
        <v>1191</v>
      </c>
    </row>
    <row r="63" spans="1:3" x14ac:dyDescent="0.35">
      <c r="A63" s="60">
        <v>45763</v>
      </c>
      <c r="B63" s="59">
        <v>25000</v>
      </c>
      <c r="C63" s="59" t="s">
        <v>1171</v>
      </c>
    </row>
    <row r="64" spans="1:3" x14ac:dyDescent="0.35">
      <c r="A64" s="60">
        <v>45763</v>
      </c>
      <c r="B64" s="59">
        <v>2200</v>
      </c>
      <c r="C64" s="59" t="s">
        <v>177</v>
      </c>
    </row>
    <row r="65" spans="1:3" x14ac:dyDescent="0.35">
      <c r="A65" s="60">
        <v>45763</v>
      </c>
      <c r="B65" s="59">
        <v>2000</v>
      </c>
      <c r="C65" s="59" t="s">
        <v>1192</v>
      </c>
    </row>
    <row r="66" spans="1:3" x14ac:dyDescent="0.35">
      <c r="A66" s="60">
        <v>45764</v>
      </c>
      <c r="B66" s="59">
        <v>100</v>
      </c>
      <c r="C66" s="59" t="s">
        <v>1162</v>
      </c>
    </row>
    <row r="67" spans="1:3" x14ac:dyDescent="0.35">
      <c r="A67" s="60">
        <v>45770</v>
      </c>
      <c r="B67" s="59">
        <v>2500</v>
      </c>
      <c r="C67" s="59" t="s">
        <v>1186</v>
      </c>
    </row>
    <row r="68" spans="1:3" x14ac:dyDescent="0.35">
      <c r="A68" s="60">
        <v>45773</v>
      </c>
      <c r="B68" s="59">
        <v>1500</v>
      </c>
      <c r="C68" s="59" t="s">
        <v>1193</v>
      </c>
    </row>
    <row r="69" spans="1:3" x14ac:dyDescent="0.35">
      <c r="A69" s="60">
        <v>45774</v>
      </c>
      <c r="B69" s="59">
        <v>1150</v>
      </c>
      <c r="C69" s="59" t="s">
        <v>1194</v>
      </c>
    </row>
    <row r="70" spans="1:3" x14ac:dyDescent="0.35">
      <c r="A70" s="60">
        <v>45776</v>
      </c>
      <c r="B70" s="59">
        <v>5000</v>
      </c>
      <c r="C70" s="59" t="s">
        <v>1195</v>
      </c>
    </row>
    <row r="71" spans="1:3" x14ac:dyDescent="0.35">
      <c r="A71" s="60">
        <v>45780</v>
      </c>
      <c r="B71" s="59">
        <v>25000</v>
      </c>
      <c r="C71" s="59" t="s">
        <v>1196</v>
      </c>
    </row>
    <row r="72" spans="1:3" x14ac:dyDescent="0.35">
      <c r="A72" s="60">
        <v>45783</v>
      </c>
      <c r="B72" s="59">
        <v>12300</v>
      </c>
      <c r="C72" s="59" t="s">
        <v>1197</v>
      </c>
    </row>
    <row r="73" spans="1:3" x14ac:dyDescent="0.35">
      <c r="A73" s="60">
        <v>45784</v>
      </c>
      <c r="B73" s="59">
        <v>400</v>
      </c>
      <c r="C73" s="59" t="s">
        <v>1162</v>
      </c>
    </row>
    <row r="74" spans="1:3" x14ac:dyDescent="0.35">
      <c r="A74" s="61">
        <v>45787</v>
      </c>
      <c r="B74" s="62"/>
      <c r="C74" s="62" t="s">
        <v>1201</v>
      </c>
    </row>
    <row r="75" spans="1:3" x14ac:dyDescent="0.35">
      <c r="A75" s="60">
        <v>45791</v>
      </c>
      <c r="B75" s="59">
        <v>610</v>
      </c>
      <c r="C75" s="59" t="s">
        <v>1172</v>
      </c>
    </row>
    <row r="76" spans="1:3" x14ac:dyDescent="0.35">
      <c r="A76" s="60">
        <v>45795</v>
      </c>
      <c r="B76" s="59">
        <v>1880</v>
      </c>
      <c r="C76" s="59" t="s">
        <v>244</v>
      </c>
    </row>
    <row r="77" spans="1:3" x14ac:dyDescent="0.35">
      <c r="A77" s="60">
        <v>45797</v>
      </c>
      <c r="B77" s="59">
        <v>500</v>
      </c>
      <c r="C77" s="59" t="s">
        <v>918</v>
      </c>
    </row>
    <row r="78" spans="1:3" x14ac:dyDescent="0.35">
      <c r="A78" s="60">
        <v>45798</v>
      </c>
      <c r="B78" s="59">
        <v>1150</v>
      </c>
      <c r="C78" s="59" t="s">
        <v>1185</v>
      </c>
    </row>
    <row r="79" spans="1:3" x14ac:dyDescent="0.35">
      <c r="A79" s="60">
        <v>45801</v>
      </c>
      <c r="B79" s="59">
        <v>2500</v>
      </c>
      <c r="C79" s="59" t="s">
        <v>177</v>
      </c>
    </row>
    <row r="80" spans="1:3" x14ac:dyDescent="0.35">
      <c r="A80" s="60">
        <v>45805</v>
      </c>
      <c r="B80" s="59">
        <v>2500</v>
      </c>
      <c r="C80" s="59" t="s">
        <v>177</v>
      </c>
    </row>
    <row r="81" spans="1:3" x14ac:dyDescent="0.35">
      <c r="A81" s="60">
        <v>45806</v>
      </c>
      <c r="B81" s="59">
        <v>2500</v>
      </c>
      <c r="C81" s="59" t="s">
        <v>1175</v>
      </c>
    </row>
    <row r="82" spans="1:3" x14ac:dyDescent="0.35">
      <c r="A82" s="60">
        <v>45808</v>
      </c>
      <c r="B82" s="59">
        <v>150</v>
      </c>
      <c r="C82" s="59" t="s">
        <v>1198</v>
      </c>
    </row>
    <row r="83" spans="1:3" x14ac:dyDescent="0.35">
      <c r="A83" s="60">
        <v>45809</v>
      </c>
      <c r="B83" s="59">
        <v>7000</v>
      </c>
      <c r="C83" s="59" t="s">
        <v>1222</v>
      </c>
    </row>
    <row r="84" spans="1:3" x14ac:dyDescent="0.35">
      <c r="A84" s="60">
        <v>45810</v>
      </c>
      <c r="B84" s="59">
        <v>6500</v>
      </c>
      <c r="C84" s="59" t="s">
        <v>1181</v>
      </c>
    </row>
    <row r="85" spans="1:3" x14ac:dyDescent="0.35">
      <c r="A85" s="60">
        <v>45812</v>
      </c>
      <c r="B85" s="59">
        <v>450</v>
      </c>
      <c r="C85" s="59" t="s">
        <v>14</v>
      </c>
    </row>
    <row r="86" spans="1:3" x14ac:dyDescent="0.35">
      <c r="A86" s="60">
        <v>45819</v>
      </c>
      <c r="B86" s="59">
        <v>1000</v>
      </c>
      <c r="C86" s="59" t="s">
        <v>1191</v>
      </c>
    </row>
    <row r="87" spans="1:3" x14ac:dyDescent="0.35">
      <c r="A87" s="60">
        <v>45822</v>
      </c>
      <c r="B87" s="59">
        <v>1700</v>
      </c>
      <c r="C87" s="59" t="s">
        <v>1199</v>
      </c>
    </row>
    <row r="88" spans="1:3" x14ac:dyDescent="0.35">
      <c r="A88" s="60">
        <v>45823</v>
      </c>
      <c r="B88" s="59">
        <v>1880</v>
      </c>
      <c r="C88" s="59" t="s">
        <v>1150</v>
      </c>
    </row>
    <row r="89" spans="1:3" x14ac:dyDescent="0.35">
      <c r="A89" s="60">
        <v>45823</v>
      </c>
      <c r="B89" s="59">
        <v>2300</v>
      </c>
      <c r="C89" s="59" t="s">
        <v>1200</v>
      </c>
    </row>
    <row r="90" spans="1:3" x14ac:dyDescent="0.35">
      <c r="A90" s="60">
        <v>45823</v>
      </c>
      <c r="B90" s="59">
        <v>1000</v>
      </c>
      <c r="C90" s="59" t="s">
        <v>759</v>
      </c>
    </row>
    <row r="91" spans="1:3" x14ac:dyDescent="0.35">
      <c r="A91" s="60">
        <v>45827</v>
      </c>
      <c r="B91" s="59">
        <v>5000</v>
      </c>
      <c r="C91" s="59" t="s">
        <v>1178</v>
      </c>
    </row>
    <row r="92" spans="1:3" x14ac:dyDescent="0.35">
      <c r="A92" s="60">
        <v>45829</v>
      </c>
      <c r="B92" s="59">
        <v>650</v>
      </c>
      <c r="C92" s="59" t="s">
        <v>1170</v>
      </c>
    </row>
    <row r="93" spans="1:3" x14ac:dyDescent="0.35">
      <c r="A93" s="60">
        <v>45832</v>
      </c>
      <c r="B93" s="59">
        <v>2200</v>
      </c>
      <c r="C93" s="59" t="s">
        <v>1031</v>
      </c>
    </row>
    <row r="94" spans="1:3" x14ac:dyDescent="0.35">
      <c r="A94" s="60">
        <v>45836</v>
      </c>
      <c r="B94" s="59">
        <v>1000</v>
      </c>
      <c r="C94" s="59" t="s">
        <v>1202</v>
      </c>
    </row>
    <row r="95" spans="1:3" x14ac:dyDescent="0.35">
      <c r="A95" s="60">
        <v>45837</v>
      </c>
      <c r="B95" s="59">
        <v>550</v>
      </c>
      <c r="C95" s="59" t="s">
        <v>1203</v>
      </c>
    </row>
    <row r="96" spans="1:3" x14ac:dyDescent="0.35">
      <c r="A96" s="60">
        <v>45841</v>
      </c>
      <c r="B96" s="59">
        <v>30000</v>
      </c>
      <c r="C96" s="59" t="s">
        <v>1196</v>
      </c>
    </row>
    <row r="97" spans="1:3" x14ac:dyDescent="0.35">
      <c r="A97" s="60">
        <v>45841</v>
      </c>
      <c r="B97" s="59">
        <v>11600</v>
      </c>
      <c r="C97" s="59" t="s">
        <v>1204</v>
      </c>
    </row>
    <row r="98" spans="1:3" x14ac:dyDescent="0.35">
      <c r="A98" s="60">
        <v>45843</v>
      </c>
      <c r="B98" s="59">
        <v>450</v>
      </c>
      <c r="C98" s="59" t="s">
        <v>14</v>
      </c>
    </row>
    <row r="99" spans="1:3" x14ac:dyDescent="0.35">
      <c r="A99" s="60">
        <v>45843</v>
      </c>
      <c r="B99" s="59">
        <v>1000</v>
      </c>
      <c r="C99" s="59" t="s">
        <v>27</v>
      </c>
    </row>
    <row r="100" spans="1:3" x14ac:dyDescent="0.35">
      <c r="A100" s="60">
        <v>45847</v>
      </c>
      <c r="B100" s="59">
        <v>850</v>
      </c>
      <c r="C100" s="59" t="s">
        <v>1198</v>
      </c>
    </row>
    <row r="101" spans="1:3" x14ac:dyDescent="0.35">
      <c r="A101" s="60">
        <v>45848</v>
      </c>
      <c r="B101" s="59">
        <v>1392</v>
      </c>
      <c r="C101" s="59" t="s">
        <v>1205</v>
      </c>
    </row>
    <row r="102" spans="1:3" x14ac:dyDescent="0.35">
      <c r="A102" s="60">
        <v>45848</v>
      </c>
      <c r="B102" s="59">
        <v>590</v>
      </c>
      <c r="C102" s="59" t="s">
        <v>1021</v>
      </c>
    </row>
    <row r="103" spans="1:3" x14ac:dyDescent="0.35">
      <c r="A103" s="60">
        <v>45854</v>
      </c>
      <c r="B103" s="59">
        <v>17750</v>
      </c>
      <c r="C103" s="59" t="s">
        <v>1181</v>
      </c>
    </row>
    <row r="104" spans="1:3" x14ac:dyDescent="0.35">
      <c r="A104" s="60">
        <v>45854</v>
      </c>
      <c r="B104" s="59">
        <v>20000</v>
      </c>
      <c r="C104" s="59" t="s">
        <v>1171</v>
      </c>
    </row>
    <row r="105" spans="1:3" x14ac:dyDescent="0.35">
      <c r="A105" s="60">
        <v>45854</v>
      </c>
      <c r="B105" s="59">
        <v>250</v>
      </c>
      <c r="C105" s="59" t="s">
        <v>1162</v>
      </c>
    </row>
    <row r="106" spans="1:3" x14ac:dyDescent="0.35">
      <c r="A106" s="60">
        <v>45858</v>
      </c>
      <c r="B106" s="59">
        <v>2000</v>
      </c>
      <c r="C106" s="59" t="s">
        <v>1187</v>
      </c>
    </row>
    <row r="107" spans="1:3" x14ac:dyDescent="0.35">
      <c r="A107" s="60">
        <v>45859</v>
      </c>
      <c r="B107" s="59">
        <v>1880</v>
      </c>
      <c r="C107" s="59" t="s">
        <v>244</v>
      </c>
    </row>
    <row r="108" spans="1:3" x14ac:dyDescent="0.35">
      <c r="A108" s="60">
        <v>45860</v>
      </c>
      <c r="B108" s="59">
        <v>520</v>
      </c>
      <c r="C108" s="59" t="s">
        <v>1206</v>
      </c>
    </row>
    <row r="109" spans="1:3" x14ac:dyDescent="0.35">
      <c r="A109" s="60">
        <v>45861</v>
      </c>
      <c r="B109" s="59">
        <v>1750</v>
      </c>
      <c r="C109" s="59" t="s">
        <v>1207</v>
      </c>
    </row>
    <row r="110" spans="1:3" x14ac:dyDescent="0.35">
      <c r="A110" s="60">
        <v>45862</v>
      </c>
      <c r="B110" s="59">
        <v>460</v>
      </c>
      <c r="C110" s="59" t="s">
        <v>1208</v>
      </c>
    </row>
    <row r="111" spans="1:3" x14ac:dyDescent="0.35">
      <c r="A111" s="60">
        <v>45864</v>
      </c>
      <c r="B111" s="59">
        <v>1570</v>
      </c>
      <c r="C111" s="59" t="s">
        <v>1171</v>
      </c>
    </row>
    <row r="112" spans="1:3" x14ac:dyDescent="0.35">
      <c r="A112" s="60">
        <v>45865</v>
      </c>
      <c r="B112" s="59">
        <v>7000</v>
      </c>
      <c r="C112" s="59" t="s">
        <v>1209</v>
      </c>
    </row>
    <row r="113" spans="1:3" x14ac:dyDescent="0.35">
      <c r="A113" s="60">
        <v>45867</v>
      </c>
      <c r="B113" s="59">
        <v>100</v>
      </c>
      <c r="C113" s="59" t="s">
        <v>1210</v>
      </c>
    </row>
    <row r="114" spans="1:3" x14ac:dyDescent="0.35">
      <c r="A114" s="60">
        <v>45867</v>
      </c>
      <c r="B114" s="59">
        <v>450</v>
      </c>
      <c r="C114" s="59" t="s">
        <v>1211</v>
      </c>
    </row>
    <row r="115" spans="1:3" x14ac:dyDescent="0.35">
      <c r="A115" s="60">
        <v>45868</v>
      </c>
      <c r="B115" s="59">
        <v>27800</v>
      </c>
      <c r="C115" s="59" t="s">
        <v>1225</v>
      </c>
    </row>
    <row r="116" spans="1:3" x14ac:dyDescent="0.35">
      <c r="A116" s="60">
        <v>45869</v>
      </c>
      <c r="B116" s="59">
        <v>8900</v>
      </c>
      <c r="C116" s="59" t="s">
        <v>1212</v>
      </c>
    </row>
    <row r="117" spans="1:3" x14ac:dyDescent="0.35">
      <c r="A117" s="61">
        <v>45869</v>
      </c>
      <c r="B117" s="62"/>
      <c r="C117" s="62" t="s">
        <v>1213</v>
      </c>
    </row>
    <row r="118" spans="1:3" x14ac:dyDescent="0.35">
      <c r="A118" s="61">
        <v>45869</v>
      </c>
      <c r="B118" s="62"/>
      <c r="C118" s="62" t="s">
        <v>1223</v>
      </c>
    </row>
    <row r="119" spans="1:3" x14ac:dyDescent="0.35">
      <c r="A119" s="60">
        <v>45871</v>
      </c>
      <c r="B119" s="59">
        <v>2400</v>
      </c>
      <c r="C119" s="59" t="s">
        <v>1214</v>
      </c>
    </row>
    <row r="120" spans="1:3" x14ac:dyDescent="0.35">
      <c r="A120" s="60">
        <v>45871</v>
      </c>
      <c r="B120" s="59">
        <v>30000</v>
      </c>
      <c r="C120" s="59" t="s">
        <v>1224</v>
      </c>
    </row>
    <row r="121" spans="1:3" x14ac:dyDescent="0.35">
      <c r="A121" s="60">
        <v>45871</v>
      </c>
      <c r="B121" s="59">
        <v>1950</v>
      </c>
      <c r="C121" s="59" t="s">
        <v>1215</v>
      </c>
    </row>
    <row r="122" spans="1:3" x14ac:dyDescent="0.35">
      <c r="A122" s="60">
        <v>45871</v>
      </c>
      <c r="B122" s="59">
        <v>2975</v>
      </c>
      <c r="C122" s="59" t="s">
        <v>1216</v>
      </c>
    </row>
    <row r="123" spans="1:3" x14ac:dyDescent="0.35">
      <c r="A123" s="60">
        <v>45871</v>
      </c>
      <c r="B123" s="59">
        <v>2500</v>
      </c>
      <c r="C123" s="59" t="s">
        <v>1175</v>
      </c>
    </row>
    <row r="124" spans="1:3" x14ac:dyDescent="0.35">
      <c r="A124" s="60">
        <v>45872</v>
      </c>
      <c r="B124" s="59">
        <v>1250</v>
      </c>
      <c r="C124" s="59" t="s">
        <v>1202</v>
      </c>
    </row>
    <row r="125" spans="1:3" x14ac:dyDescent="0.35">
      <c r="A125" s="60">
        <v>45874</v>
      </c>
      <c r="B125" s="59">
        <v>450</v>
      </c>
      <c r="C125" s="59" t="s">
        <v>14</v>
      </c>
    </row>
    <row r="126" spans="1:3" x14ac:dyDescent="0.35">
      <c r="A126" s="60">
        <v>45874</v>
      </c>
      <c r="B126" s="59">
        <v>1750</v>
      </c>
      <c r="C126" s="59" t="s">
        <v>1217</v>
      </c>
    </row>
    <row r="127" spans="1:3" x14ac:dyDescent="0.35">
      <c r="A127" s="61">
        <v>45879</v>
      </c>
      <c r="B127" s="62"/>
      <c r="C127" s="62" t="s">
        <v>683</v>
      </c>
    </row>
    <row r="128" spans="1:3" x14ac:dyDescent="0.35">
      <c r="A128" s="60">
        <v>45879</v>
      </c>
      <c r="B128" s="59">
        <v>1000</v>
      </c>
      <c r="C128" s="59" t="s">
        <v>1162</v>
      </c>
    </row>
    <row r="129" spans="1:3" x14ac:dyDescent="0.35">
      <c r="A129" s="60">
        <v>45883</v>
      </c>
      <c r="B129" s="59">
        <v>1030</v>
      </c>
      <c r="C129" s="59" t="s">
        <v>1162</v>
      </c>
    </row>
    <row r="130" spans="1:3" x14ac:dyDescent="0.35">
      <c r="A130" s="60">
        <v>45885</v>
      </c>
      <c r="B130" s="59">
        <v>200</v>
      </c>
      <c r="C130" s="59" t="s">
        <v>1218</v>
      </c>
    </row>
    <row r="131" spans="1:3" x14ac:dyDescent="0.35">
      <c r="A131" s="60">
        <v>45885</v>
      </c>
      <c r="B131" s="59">
        <v>6225</v>
      </c>
      <c r="C131" s="59" t="s">
        <v>1219</v>
      </c>
    </row>
    <row r="132" spans="1:3" x14ac:dyDescent="0.35">
      <c r="A132" s="60">
        <v>45885</v>
      </c>
      <c r="B132" s="59">
        <v>1000</v>
      </c>
      <c r="C132" s="59" t="s">
        <v>1188</v>
      </c>
    </row>
    <row r="133" spans="1:3" x14ac:dyDescent="0.35">
      <c r="A133" s="60">
        <v>45888</v>
      </c>
      <c r="B133" s="59">
        <v>1880</v>
      </c>
      <c r="C133" s="59" t="s">
        <v>244</v>
      </c>
    </row>
    <row r="134" spans="1:3" x14ac:dyDescent="0.35">
      <c r="A134" s="60">
        <v>45888</v>
      </c>
      <c r="B134" s="59">
        <v>15000</v>
      </c>
      <c r="C134" s="59" t="s">
        <v>1220</v>
      </c>
    </row>
    <row r="135" spans="1:3" x14ac:dyDescent="0.35">
      <c r="A135" s="60">
        <v>45893</v>
      </c>
      <c r="B135" s="59">
        <v>1050</v>
      </c>
      <c r="C135" s="59" t="s">
        <v>1221</v>
      </c>
    </row>
    <row r="136" spans="1:3" x14ac:dyDescent="0.35">
      <c r="A136" s="59"/>
      <c r="B136" s="59"/>
      <c r="C136" s="59"/>
    </row>
    <row r="137" spans="1:3" x14ac:dyDescent="0.35">
      <c r="A137" s="59"/>
      <c r="B137" s="59">
        <f>SUM(B1:B136)</f>
        <v>488887</v>
      </c>
      <c r="C137" s="59"/>
    </row>
    <row r="138" spans="1:3" x14ac:dyDescent="0.35">
      <c r="A138" s="59"/>
      <c r="B138" s="59"/>
      <c r="C138" s="59"/>
    </row>
    <row r="139" spans="1:3" x14ac:dyDescent="0.35">
      <c r="A139" s="59"/>
      <c r="B139" s="59"/>
      <c r="C139" s="59"/>
    </row>
    <row r="140" spans="1:3" x14ac:dyDescent="0.35">
      <c r="A140" s="59"/>
      <c r="B140" s="59"/>
      <c r="C140" s="59"/>
    </row>
    <row r="141" spans="1:3" x14ac:dyDescent="0.35">
      <c r="A141" s="59"/>
      <c r="B141" s="59"/>
      <c r="C141" s="59"/>
    </row>
    <row r="142" spans="1:3" x14ac:dyDescent="0.35">
      <c r="A142" s="59"/>
      <c r="B142" s="59"/>
      <c r="C142" s="59"/>
    </row>
    <row r="143" spans="1:3" x14ac:dyDescent="0.35">
      <c r="A143" s="59"/>
      <c r="B143" s="59"/>
      <c r="C143" s="59"/>
    </row>
    <row r="144" spans="1:3" x14ac:dyDescent="0.35">
      <c r="A144" s="59"/>
      <c r="B144" s="59"/>
      <c r="C144" s="59"/>
    </row>
    <row r="145" spans="1:3" x14ac:dyDescent="0.35">
      <c r="A145" s="59"/>
      <c r="B145" s="59"/>
      <c r="C145" s="59"/>
    </row>
    <row r="146" spans="1:3" x14ac:dyDescent="0.35">
      <c r="A146" s="59"/>
      <c r="B146" s="59"/>
      <c r="C146" s="59"/>
    </row>
    <row r="147" spans="1:3" x14ac:dyDescent="0.35">
      <c r="A147" s="59"/>
      <c r="B147" s="59"/>
      <c r="C147" s="59"/>
    </row>
    <row r="148" spans="1:3" x14ac:dyDescent="0.35">
      <c r="A148" s="59"/>
      <c r="B148" s="59"/>
      <c r="C148" s="59"/>
    </row>
    <row r="149" spans="1:3" x14ac:dyDescent="0.35">
      <c r="A149" s="59"/>
      <c r="B149" s="59"/>
      <c r="C149" s="59"/>
    </row>
    <row r="150" spans="1:3" x14ac:dyDescent="0.35">
      <c r="A150" s="59"/>
      <c r="B150" s="59"/>
      <c r="C150" s="59"/>
    </row>
    <row r="151" spans="1:3" x14ac:dyDescent="0.35">
      <c r="A151" s="59"/>
      <c r="B151" s="59"/>
      <c r="C151" s="59"/>
    </row>
    <row r="152" spans="1:3" x14ac:dyDescent="0.35">
      <c r="A152" s="59"/>
      <c r="B152" s="59"/>
      <c r="C152" s="59"/>
    </row>
    <row r="153" spans="1:3" x14ac:dyDescent="0.35">
      <c r="A153" s="59"/>
      <c r="B153" s="59"/>
      <c r="C153" s="59"/>
    </row>
    <row r="154" spans="1:3" x14ac:dyDescent="0.35">
      <c r="A154" s="59"/>
      <c r="B154" s="59"/>
      <c r="C154" s="59"/>
    </row>
    <row r="155" spans="1:3" x14ac:dyDescent="0.35">
      <c r="A155" s="59"/>
      <c r="B155" s="59"/>
      <c r="C155" s="59"/>
    </row>
    <row r="156" spans="1:3" x14ac:dyDescent="0.35">
      <c r="A156" s="59"/>
      <c r="B156" s="59"/>
      <c r="C156" s="59"/>
    </row>
    <row r="157" spans="1:3" x14ac:dyDescent="0.35">
      <c r="A157" s="59"/>
      <c r="B157" s="59"/>
      <c r="C157" s="59"/>
    </row>
    <row r="158" spans="1:3" x14ac:dyDescent="0.35">
      <c r="A158" s="59"/>
      <c r="B158" s="59"/>
      <c r="C158" s="59"/>
    </row>
    <row r="159" spans="1:3" x14ac:dyDescent="0.35">
      <c r="A159" s="59"/>
      <c r="B159" s="59"/>
      <c r="C159" s="59"/>
    </row>
    <row r="160" spans="1:3" x14ac:dyDescent="0.35">
      <c r="A160" s="59"/>
      <c r="B160" s="59"/>
      <c r="C160" s="59"/>
    </row>
    <row r="161" spans="1:3" x14ac:dyDescent="0.35">
      <c r="A161" s="59"/>
      <c r="B161" s="59"/>
      <c r="C161" s="59"/>
    </row>
    <row r="162" spans="1:3" x14ac:dyDescent="0.35">
      <c r="A162" s="59"/>
      <c r="B162" s="59"/>
      <c r="C162" s="59"/>
    </row>
    <row r="163" spans="1:3" x14ac:dyDescent="0.35">
      <c r="A163" s="59"/>
      <c r="B163" s="59"/>
      <c r="C163" s="59"/>
    </row>
    <row r="164" spans="1:3" x14ac:dyDescent="0.35">
      <c r="A164" s="59"/>
      <c r="B164" s="59"/>
      <c r="C164" s="59"/>
    </row>
    <row r="165" spans="1:3" x14ac:dyDescent="0.35">
      <c r="A165" s="59"/>
      <c r="B165" s="59"/>
      <c r="C165" s="59"/>
    </row>
    <row r="166" spans="1:3" x14ac:dyDescent="0.35">
      <c r="A166" s="59"/>
      <c r="B166" s="59"/>
      <c r="C166" s="59"/>
    </row>
    <row r="167" spans="1:3" x14ac:dyDescent="0.35">
      <c r="A167" s="59"/>
      <c r="B167" s="59"/>
      <c r="C167" s="59"/>
    </row>
    <row r="168" spans="1:3" x14ac:dyDescent="0.35">
      <c r="A168" s="59"/>
      <c r="B168" s="59"/>
      <c r="C168" s="59"/>
    </row>
    <row r="169" spans="1:3" x14ac:dyDescent="0.35">
      <c r="A169" s="59"/>
      <c r="B169" s="59"/>
      <c r="C169" s="59"/>
    </row>
    <row r="170" spans="1:3" x14ac:dyDescent="0.35">
      <c r="A170" s="59"/>
      <c r="B170" s="59"/>
      <c r="C170" s="59"/>
    </row>
    <row r="171" spans="1:3" x14ac:dyDescent="0.35">
      <c r="A171" s="59"/>
      <c r="B171" s="59"/>
      <c r="C171" s="59"/>
    </row>
    <row r="172" spans="1:3" x14ac:dyDescent="0.35">
      <c r="A172" s="59"/>
      <c r="B172" s="59"/>
      <c r="C172" s="59"/>
    </row>
    <row r="173" spans="1:3" x14ac:dyDescent="0.35">
      <c r="A173" s="59"/>
      <c r="B173" s="59"/>
      <c r="C173" s="59"/>
    </row>
    <row r="174" spans="1:3" x14ac:dyDescent="0.35">
      <c r="A174" s="59"/>
      <c r="B174" s="59"/>
      <c r="C174" s="59"/>
    </row>
    <row r="175" spans="1:3" x14ac:dyDescent="0.35">
      <c r="A175" s="59"/>
      <c r="B175" s="59"/>
      <c r="C175" s="59"/>
    </row>
    <row r="176" spans="1:3" x14ac:dyDescent="0.35">
      <c r="A176" s="59"/>
      <c r="B176" s="59"/>
      <c r="C176" s="59"/>
    </row>
    <row r="177" spans="1:3" x14ac:dyDescent="0.35">
      <c r="A177" s="59"/>
      <c r="B177" s="59"/>
      <c r="C177" s="59"/>
    </row>
    <row r="178" spans="1:3" x14ac:dyDescent="0.35">
      <c r="A178" s="59"/>
      <c r="B178" s="59"/>
      <c r="C178" s="59"/>
    </row>
    <row r="179" spans="1:3" x14ac:dyDescent="0.35">
      <c r="A179" s="59"/>
      <c r="B179" s="59"/>
      <c r="C179" s="59"/>
    </row>
    <row r="180" spans="1:3" x14ac:dyDescent="0.35">
      <c r="A180" s="59"/>
      <c r="B180" s="59"/>
      <c r="C180" s="59"/>
    </row>
    <row r="181" spans="1:3" x14ac:dyDescent="0.35">
      <c r="A181" s="59"/>
      <c r="B181" s="59"/>
      <c r="C181" s="59"/>
    </row>
    <row r="182" spans="1:3" x14ac:dyDescent="0.35">
      <c r="A182" s="59"/>
      <c r="B182" s="59"/>
      <c r="C182" s="59"/>
    </row>
    <row r="183" spans="1:3" x14ac:dyDescent="0.35">
      <c r="A183" s="59"/>
      <c r="B183" s="59"/>
      <c r="C183" s="59"/>
    </row>
    <row r="184" spans="1:3" x14ac:dyDescent="0.35">
      <c r="A184" s="59"/>
      <c r="B184" s="59"/>
      <c r="C184" s="59"/>
    </row>
    <row r="185" spans="1:3" x14ac:dyDescent="0.35">
      <c r="A185" s="59"/>
      <c r="B185" s="59"/>
      <c r="C185" s="59"/>
    </row>
    <row r="186" spans="1:3" x14ac:dyDescent="0.35">
      <c r="A186" s="59"/>
      <c r="B186" s="59"/>
      <c r="C186" s="59"/>
    </row>
    <row r="187" spans="1:3" x14ac:dyDescent="0.35">
      <c r="A187" s="59"/>
      <c r="B187" s="59"/>
      <c r="C187" s="59"/>
    </row>
    <row r="188" spans="1:3" x14ac:dyDescent="0.35">
      <c r="A188" s="59"/>
      <c r="B188" s="59"/>
      <c r="C188" s="59"/>
    </row>
    <row r="189" spans="1:3" x14ac:dyDescent="0.35">
      <c r="A189" s="59"/>
      <c r="B189" s="59"/>
      <c r="C189" s="59"/>
    </row>
    <row r="190" spans="1:3" x14ac:dyDescent="0.35">
      <c r="A190" s="59"/>
      <c r="B190" s="59"/>
      <c r="C190" s="59"/>
    </row>
    <row r="191" spans="1:3" x14ac:dyDescent="0.35">
      <c r="A191" s="59"/>
      <c r="B191" s="59"/>
      <c r="C191" s="59"/>
    </row>
    <row r="192" spans="1:3" x14ac:dyDescent="0.35">
      <c r="A192" s="59"/>
      <c r="B192" s="59"/>
      <c r="C192" s="59"/>
    </row>
    <row r="193" spans="1:3" x14ac:dyDescent="0.35">
      <c r="A193" s="59"/>
      <c r="B193" s="59"/>
      <c r="C193" s="59"/>
    </row>
    <row r="194" spans="1:3" x14ac:dyDescent="0.35">
      <c r="A194" s="59"/>
      <c r="B194" s="59"/>
      <c r="C194" s="59"/>
    </row>
    <row r="195" spans="1:3" x14ac:dyDescent="0.35">
      <c r="A195" s="59"/>
      <c r="B195" s="59"/>
      <c r="C195" s="59"/>
    </row>
    <row r="196" spans="1:3" x14ac:dyDescent="0.35">
      <c r="A196" s="59"/>
      <c r="B196" s="59"/>
      <c r="C196" s="59"/>
    </row>
    <row r="197" spans="1:3" x14ac:dyDescent="0.35">
      <c r="A197" s="59"/>
      <c r="B197" s="59"/>
      <c r="C197" s="59"/>
    </row>
    <row r="198" spans="1:3" x14ac:dyDescent="0.35">
      <c r="A198" s="59"/>
      <c r="B198" s="59"/>
      <c r="C198" s="59"/>
    </row>
    <row r="199" spans="1:3" x14ac:dyDescent="0.35">
      <c r="A199" s="59"/>
      <c r="B199" s="59"/>
      <c r="C199" s="59"/>
    </row>
    <row r="200" spans="1:3" x14ac:dyDescent="0.35">
      <c r="A200" s="59"/>
      <c r="B200" s="59"/>
      <c r="C200" s="59"/>
    </row>
    <row r="201" spans="1:3" x14ac:dyDescent="0.35">
      <c r="A201" s="59"/>
      <c r="B201" s="59"/>
      <c r="C201" s="59"/>
    </row>
    <row r="202" spans="1:3" x14ac:dyDescent="0.35">
      <c r="A202" s="59"/>
      <c r="B202" s="59"/>
      <c r="C202" s="59"/>
    </row>
    <row r="203" spans="1:3" x14ac:dyDescent="0.35">
      <c r="A203" s="59"/>
      <c r="B203" s="59"/>
      <c r="C203" s="59"/>
    </row>
    <row r="204" spans="1:3" x14ac:dyDescent="0.35">
      <c r="A204" s="59"/>
      <c r="B204" s="59"/>
      <c r="C204" s="59"/>
    </row>
    <row r="205" spans="1:3" x14ac:dyDescent="0.35">
      <c r="A205" s="59"/>
      <c r="B205" s="59"/>
      <c r="C205" s="59"/>
    </row>
    <row r="206" spans="1:3" x14ac:dyDescent="0.35">
      <c r="A206" s="59"/>
      <c r="B206" s="59"/>
      <c r="C206" s="59"/>
    </row>
    <row r="207" spans="1:3" x14ac:dyDescent="0.35">
      <c r="A207" s="59"/>
      <c r="B207" s="59"/>
      <c r="C207" s="59"/>
    </row>
    <row r="208" spans="1:3" x14ac:dyDescent="0.35">
      <c r="A208" s="59"/>
      <c r="B208" s="59"/>
      <c r="C208" s="59"/>
    </row>
    <row r="209" spans="1:3" x14ac:dyDescent="0.35">
      <c r="A209" s="59"/>
      <c r="B209" s="59"/>
      <c r="C209" s="59"/>
    </row>
    <row r="210" spans="1:3" x14ac:dyDescent="0.35">
      <c r="A210" s="59"/>
      <c r="B210" s="59"/>
      <c r="C210" s="59"/>
    </row>
    <row r="211" spans="1:3" x14ac:dyDescent="0.35">
      <c r="A211" s="59"/>
      <c r="B211" s="59"/>
      <c r="C211" s="59"/>
    </row>
    <row r="212" spans="1:3" x14ac:dyDescent="0.35">
      <c r="A212" s="59"/>
      <c r="B212" s="59"/>
      <c r="C212" s="59"/>
    </row>
    <row r="213" spans="1:3" x14ac:dyDescent="0.35">
      <c r="A213" s="59"/>
      <c r="B213" s="59"/>
      <c r="C213" s="59"/>
    </row>
    <row r="214" spans="1:3" x14ac:dyDescent="0.35">
      <c r="A214" s="59"/>
      <c r="B214" s="59"/>
      <c r="C214" s="59"/>
    </row>
    <row r="215" spans="1:3" x14ac:dyDescent="0.35">
      <c r="A215" s="59"/>
      <c r="B215" s="59"/>
      <c r="C215" s="59"/>
    </row>
    <row r="216" spans="1:3" x14ac:dyDescent="0.35">
      <c r="A216" s="59"/>
      <c r="B216" s="59"/>
      <c r="C216" s="59"/>
    </row>
    <row r="217" spans="1:3" x14ac:dyDescent="0.35">
      <c r="A217" s="59"/>
      <c r="B217" s="59"/>
      <c r="C217" s="59"/>
    </row>
    <row r="218" spans="1:3" x14ac:dyDescent="0.35">
      <c r="A218" s="59"/>
      <c r="B218" s="59"/>
      <c r="C218" s="59"/>
    </row>
    <row r="219" spans="1:3" x14ac:dyDescent="0.35">
      <c r="A219" s="59"/>
      <c r="B219" s="59"/>
      <c r="C219" s="59"/>
    </row>
    <row r="220" spans="1:3" x14ac:dyDescent="0.35">
      <c r="A220" s="59"/>
      <c r="B220" s="59"/>
      <c r="C220" s="59"/>
    </row>
    <row r="221" spans="1:3" x14ac:dyDescent="0.35">
      <c r="A221" s="59"/>
      <c r="B221" s="59"/>
      <c r="C221" s="59"/>
    </row>
    <row r="222" spans="1:3" x14ac:dyDescent="0.35">
      <c r="A222" s="59"/>
      <c r="B222" s="59"/>
      <c r="C222" s="59"/>
    </row>
    <row r="223" spans="1:3" x14ac:dyDescent="0.35">
      <c r="A223" s="59"/>
      <c r="B223" s="59"/>
      <c r="C223" s="59"/>
    </row>
    <row r="224" spans="1:3" x14ac:dyDescent="0.35">
      <c r="A224" s="59"/>
      <c r="B224" s="59"/>
      <c r="C224" s="59"/>
    </row>
    <row r="225" spans="1:3" x14ac:dyDescent="0.35">
      <c r="A225" s="59"/>
      <c r="B225" s="59"/>
      <c r="C225" s="59"/>
    </row>
    <row r="226" spans="1:3" x14ac:dyDescent="0.35">
      <c r="A226" s="59"/>
      <c r="B226" s="59"/>
      <c r="C226" s="59"/>
    </row>
    <row r="227" spans="1:3" x14ac:dyDescent="0.35">
      <c r="A227" s="59"/>
      <c r="B227" s="59"/>
      <c r="C227" s="59"/>
    </row>
    <row r="228" spans="1:3" x14ac:dyDescent="0.35">
      <c r="A228" s="59"/>
      <c r="B228" s="59"/>
      <c r="C228" s="59"/>
    </row>
    <row r="229" spans="1:3" x14ac:dyDescent="0.35">
      <c r="A229" s="59"/>
      <c r="B229" s="59"/>
      <c r="C229" s="59"/>
    </row>
    <row r="230" spans="1:3" x14ac:dyDescent="0.35">
      <c r="A230" s="59"/>
      <c r="B230" s="59"/>
      <c r="C230" s="59"/>
    </row>
    <row r="231" spans="1:3" x14ac:dyDescent="0.35">
      <c r="A231" s="59"/>
      <c r="B231" s="59"/>
      <c r="C231" s="59"/>
    </row>
    <row r="232" spans="1:3" x14ac:dyDescent="0.35">
      <c r="A232" s="59"/>
      <c r="B232" s="59"/>
      <c r="C232" s="59"/>
    </row>
    <row r="233" spans="1:3" x14ac:dyDescent="0.35">
      <c r="A233" s="59"/>
      <c r="B233" s="59"/>
      <c r="C233" s="59"/>
    </row>
    <row r="234" spans="1:3" x14ac:dyDescent="0.35">
      <c r="A234" s="59"/>
      <c r="B234" s="59"/>
      <c r="C234" s="59"/>
    </row>
    <row r="235" spans="1:3" x14ac:dyDescent="0.35">
      <c r="A235" s="59"/>
      <c r="B235" s="59"/>
      <c r="C235" s="59"/>
    </row>
    <row r="236" spans="1:3" x14ac:dyDescent="0.35">
      <c r="A236" s="59"/>
      <c r="B236" s="59"/>
      <c r="C236" s="59"/>
    </row>
    <row r="237" spans="1:3" x14ac:dyDescent="0.35">
      <c r="A237" s="59"/>
      <c r="B237" s="59"/>
      <c r="C237" s="59"/>
    </row>
    <row r="238" spans="1:3" x14ac:dyDescent="0.35">
      <c r="A238" s="59"/>
      <c r="B238" s="59"/>
      <c r="C238" s="59"/>
    </row>
    <row r="239" spans="1:3" x14ac:dyDescent="0.35">
      <c r="A239" s="59"/>
      <c r="B239" s="59"/>
      <c r="C239" s="59"/>
    </row>
    <row r="240" spans="1:3" x14ac:dyDescent="0.35">
      <c r="A240" s="59"/>
      <c r="B240" s="59"/>
      <c r="C240" s="59"/>
    </row>
    <row r="241" spans="1:3" x14ac:dyDescent="0.35">
      <c r="A241" s="59"/>
      <c r="B241" s="59"/>
      <c r="C241" s="59"/>
    </row>
    <row r="242" spans="1:3" x14ac:dyDescent="0.35">
      <c r="A242" s="59"/>
      <c r="B242" s="59"/>
      <c r="C242" s="59"/>
    </row>
    <row r="243" spans="1:3" x14ac:dyDescent="0.35">
      <c r="A243" s="59"/>
      <c r="B243" s="59"/>
      <c r="C243" s="59"/>
    </row>
    <row r="244" spans="1:3" x14ac:dyDescent="0.35">
      <c r="A244" s="59"/>
      <c r="B244" s="59"/>
      <c r="C244" s="59"/>
    </row>
    <row r="245" spans="1:3" x14ac:dyDescent="0.35">
      <c r="A245" s="59"/>
      <c r="B245" s="59"/>
      <c r="C245" s="59"/>
    </row>
    <row r="246" spans="1:3" x14ac:dyDescent="0.35">
      <c r="A246" s="59"/>
      <c r="B246" s="59"/>
      <c r="C246" s="59"/>
    </row>
    <row r="247" spans="1:3" x14ac:dyDescent="0.35">
      <c r="A247" s="59"/>
      <c r="B247" s="59"/>
      <c r="C247" s="59"/>
    </row>
    <row r="248" spans="1:3" x14ac:dyDescent="0.35">
      <c r="A248" s="59"/>
      <c r="B248" s="59"/>
      <c r="C248" s="59"/>
    </row>
    <row r="249" spans="1:3" x14ac:dyDescent="0.35">
      <c r="A249" s="59"/>
      <c r="B249" s="59"/>
      <c r="C249" s="59"/>
    </row>
    <row r="250" spans="1:3" x14ac:dyDescent="0.35">
      <c r="A250" s="59"/>
      <c r="B250" s="59"/>
      <c r="C250" s="59"/>
    </row>
    <row r="251" spans="1:3" x14ac:dyDescent="0.35">
      <c r="A251" s="59"/>
      <c r="B251" s="59"/>
      <c r="C251" s="59"/>
    </row>
    <row r="252" spans="1:3" x14ac:dyDescent="0.35">
      <c r="A252" s="59"/>
      <c r="B252" s="59"/>
      <c r="C252" s="59"/>
    </row>
    <row r="253" spans="1:3" x14ac:dyDescent="0.35">
      <c r="A253" s="59"/>
      <c r="B253" s="59"/>
      <c r="C253" s="59"/>
    </row>
    <row r="254" spans="1:3" x14ac:dyDescent="0.35">
      <c r="A254" s="59"/>
      <c r="B254" s="59"/>
      <c r="C254" s="59"/>
    </row>
    <row r="255" spans="1:3" x14ac:dyDescent="0.35">
      <c r="A255" s="59"/>
      <c r="B255" s="59"/>
      <c r="C255" s="59"/>
    </row>
    <row r="256" spans="1:3" x14ac:dyDescent="0.35">
      <c r="A256" s="59"/>
      <c r="B256" s="59"/>
      <c r="C256" s="59"/>
    </row>
    <row r="257" spans="1:3" x14ac:dyDescent="0.35">
      <c r="A257" s="59"/>
      <c r="B257" s="59"/>
      <c r="C257" s="59"/>
    </row>
    <row r="258" spans="1:3" x14ac:dyDescent="0.35">
      <c r="A258" s="59"/>
      <c r="B258" s="59"/>
      <c r="C258" s="59"/>
    </row>
    <row r="259" spans="1:3" x14ac:dyDescent="0.35">
      <c r="A259" s="59"/>
      <c r="B259" s="59"/>
      <c r="C259" s="59"/>
    </row>
    <row r="260" spans="1:3" x14ac:dyDescent="0.35">
      <c r="A260" s="59"/>
      <c r="B260" s="59"/>
      <c r="C260" s="59"/>
    </row>
    <row r="261" spans="1:3" x14ac:dyDescent="0.35">
      <c r="A261" s="59"/>
      <c r="B261" s="59"/>
      <c r="C261" s="59"/>
    </row>
    <row r="262" spans="1:3" x14ac:dyDescent="0.35">
      <c r="A262" s="59"/>
      <c r="B262" s="59"/>
      <c r="C262" s="59"/>
    </row>
    <row r="263" spans="1:3" x14ac:dyDescent="0.35">
      <c r="A263" s="59"/>
      <c r="B263" s="59"/>
      <c r="C263" s="59"/>
    </row>
    <row r="264" spans="1:3" x14ac:dyDescent="0.35">
      <c r="A264" s="59"/>
      <c r="B264" s="59"/>
      <c r="C264" s="59"/>
    </row>
    <row r="265" spans="1:3" x14ac:dyDescent="0.35">
      <c r="A265" s="59"/>
      <c r="B265" s="59"/>
      <c r="C265" s="59"/>
    </row>
    <row r="266" spans="1:3" x14ac:dyDescent="0.35">
      <c r="A266" s="59"/>
      <c r="B266" s="59"/>
      <c r="C266" s="59"/>
    </row>
    <row r="267" spans="1:3" x14ac:dyDescent="0.35">
      <c r="A267" s="59"/>
      <c r="B267" s="59"/>
      <c r="C267" s="59"/>
    </row>
    <row r="268" spans="1:3" x14ac:dyDescent="0.35">
      <c r="A268" s="59"/>
      <c r="B268" s="59"/>
      <c r="C268" s="59"/>
    </row>
    <row r="269" spans="1:3" x14ac:dyDescent="0.35">
      <c r="A269" s="59"/>
      <c r="B269" s="59"/>
      <c r="C269" s="59"/>
    </row>
    <row r="270" spans="1:3" x14ac:dyDescent="0.35">
      <c r="A270" s="59"/>
      <c r="B270" s="59"/>
      <c r="C270" s="59"/>
    </row>
    <row r="271" spans="1:3" x14ac:dyDescent="0.35">
      <c r="A271" s="59"/>
      <c r="B271" s="59"/>
      <c r="C271" s="59"/>
    </row>
    <row r="272" spans="1:3" x14ac:dyDescent="0.35">
      <c r="A272" s="59"/>
      <c r="B272" s="59"/>
      <c r="C272" s="59"/>
    </row>
    <row r="273" spans="1:3" x14ac:dyDescent="0.35">
      <c r="A273" s="59"/>
      <c r="B273" s="59"/>
      <c r="C273" s="59"/>
    </row>
    <row r="274" spans="1:3" x14ac:dyDescent="0.35">
      <c r="A274" s="59"/>
      <c r="B274" s="59"/>
      <c r="C274" s="59"/>
    </row>
    <row r="275" spans="1:3" x14ac:dyDescent="0.35">
      <c r="A275" s="59"/>
      <c r="B275" s="59"/>
      <c r="C275" s="59"/>
    </row>
    <row r="276" spans="1:3" x14ac:dyDescent="0.35">
      <c r="A276" s="59"/>
      <c r="B276" s="59"/>
      <c r="C276" s="59"/>
    </row>
    <row r="277" spans="1:3" x14ac:dyDescent="0.35">
      <c r="A277" s="59"/>
      <c r="B277" s="59"/>
      <c r="C277" s="59"/>
    </row>
    <row r="278" spans="1:3" x14ac:dyDescent="0.35">
      <c r="A278" s="59"/>
      <c r="B278" s="59"/>
      <c r="C278" s="59"/>
    </row>
    <row r="279" spans="1:3" x14ac:dyDescent="0.35">
      <c r="A279" s="59"/>
      <c r="B279" s="59"/>
      <c r="C279" s="59"/>
    </row>
    <row r="280" spans="1:3" x14ac:dyDescent="0.35">
      <c r="A280" s="59"/>
      <c r="B280" s="59"/>
      <c r="C280" s="59"/>
    </row>
    <row r="281" spans="1:3" x14ac:dyDescent="0.35">
      <c r="A281" s="59"/>
      <c r="B281" s="59"/>
      <c r="C281" s="59"/>
    </row>
    <row r="282" spans="1:3" x14ac:dyDescent="0.35">
      <c r="A282" s="59"/>
      <c r="B282" s="59"/>
      <c r="C282" s="59"/>
    </row>
    <row r="283" spans="1:3" x14ac:dyDescent="0.35">
      <c r="A283" s="59"/>
      <c r="B283" s="59"/>
      <c r="C283" s="59"/>
    </row>
    <row r="284" spans="1:3" x14ac:dyDescent="0.35">
      <c r="A284" s="59"/>
      <c r="B284" s="59"/>
      <c r="C284" s="59"/>
    </row>
    <row r="285" spans="1:3" x14ac:dyDescent="0.35">
      <c r="A285" s="59"/>
      <c r="B285" s="59"/>
      <c r="C285" s="59"/>
    </row>
    <row r="286" spans="1:3" x14ac:dyDescent="0.35">
      <c r="A286" s="59"/>
      <c r="B286" s="59"/>
      <c r="C286" s="59"/>
    </row>
    <row r="287" spans="1:3" x14ac:dyDescent="0.35">
      <c r="A287" s="59"/>
      <c r="B287" s="59"/>
      <c r="C287" s="59"/>
    </row>
    <row r="288" spans="1:3" x14ac:dyDescent="0.35">
      <c r="A288" s="59"/>
      <c r="B288" s="59"/>
      <c r="C288" s="59"/>
    </row>
    <row r="289" spans="1:3" x14ac:dyDescent="0.35">
      <c r="A289" s="59"/>
      <c r="B289" s="59"/>
      <c r="C289" s="59"/>
    </row>
    <row r="290" spans="1:3" x14ac:dyDescent="0.35">
      <c r="A290" s="59"/>
      <c r="B290" s="59"/>
      <c r="C290" s="59"/>
    </row>
    <row r="291" spans="1:3" x14ac:dyDescent="0.35">
      <c r="A291" s="59"/>
      <c r="B291" s="59"/>
      <c r="C291" s="59"/>
    </row>
    <row r="292" spans="1:3" x14ac:dyDescent="0.35">
      <c r="A292" s="59"/>
      <c r="B292" s="59"/>
      <c r="C292" s="59"/>
    </row>
    <row r="293" spans="1:3" x14ac:dyDescent="0.35">
      <c r="A293" s="59"/>
      <c r="B293" s="59"/>
      <c r="C293" s="59"/>
    </row>
    <row r="294" spans="1:3" x14ac:dyDescent="0.35">
      <c r="A294" s="59"/>
      <c r="B294" s="59"/>
      <c r="C294" s="59"/>
    </row>
  </sheetData>
  <mergeCells count="2">
    <mergeCell ref="H7:H8"/>
    <mergeCell ref="I7:I8"/>
  </mergeCells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BD3A1-C989-409E-8C7C-DD71C39B71E9}">
  <sheetPr codeName="Sheet3"/>
  <dimension ref="B1:Q42"/>
  <sheetViews>
    <sheetView rightToLeft="1" workbookViewId="0">
      <selection activeCell="B43" sqref="B43"/>
    </sheetView>
  </sheetViews>
  <sheetFormatPr defaultRowHeight="23.25" x14ac:dyDescent="0.35"/>
  <cols>
    <col min="2" max="2" width="9.140625" style="82"/>
    <col min="3" max="3" width="20.140625" style="83" customWidth="1"/>
    <col min="4" max="4" width="35.140625" style="82" customWidth="1"/>
    <col min="11" max="11" width="23.140625" customWidth="1"/>
  </cols>
  <sheetData>
    <row r="1" spans="2:17" ht="27.75" customHeight="1" x14ac:dyDescent="0.35">
      <c r="B1" s="75" t="s">
        <v>1538</v>
      </c>
      <c r="C1" s="77" t="s">
        <v>10</v>
      </c>
      <c r="D1" s="76" t="s">
        <v>1015</v>
      </c>
    </row>
    <row r="2" spans="2:17" ht="20.100000000000001" customHeight="1" x14ac:dyDescent="0.35">
      <c r="B2" s="75">
        <v>1</v>
      </c>
      <c r="C2" s="77">
        <v>45584</v>
      </c>
      <c r="D2" s="78">
        <v>3060</v>
      </c>
    </row>
    <row r="3" spans="2:17" ht="20.100000000000001" customHeight="1" x14ac:dyDescent="0.35">
      <c r="B3" s="75">
        <v>2</v>
      </c>
      <c r="C3" s="77">
        <v>45661</v>
      </c>
      <c r="D3" s="78">
        <v>865</v>
      </c>
      <c r="E3" t="s">
        <v>1238</v>
      </c>
    </row>
    <row r="4" spans="2:17" ht="20.100000000000001" customHeight="1" x14ac:dyDescent="0.35">
      <c r="B4" s="75">
        <v>3</v>
      </c>
      <c r="C4" s="77">
        <v>45739</v>
      </c>
      <c r="D4" s="78">
        <v>360</v>
      </c>
      <c r="P4">
        <v>25500</v>
      </c>
      <c r="Q4">
        <v>1000</v>
      </c>
    </row>
    <row r="5" spans="2:17" ht="20.100000000000001" customHeight="1" x14ac:dyDescent="0.35">
      <c r="B5" s="75">
        <v>4</v>
      </c>
      <c r="C5" s="77">
        <v>45838</v>
      </c>
      <c r="D5" s="78">
        <v>1000</v>
      </c>
      <c r="O5">
        <v>1900</v>
      </c>
      <c r="P5">
        <v>200</v>
      </c>
    </row>
    <row r="6" spans="2:17" ht="20.100000000000001" customHeight="1" x14ac:dyDescent="0.35">
      <c r="B6" s="75">
        <v>5</v>
      </c>
      <c r="C6" s="77">
        <v>45843</v>
      </c>
      <c r="D6" s="78">
        <v>900</v>
      </c>
      <c r="E6" t="s">
        <v>1296</v>
      </c>
      <c r="O6">
        <v>1900</v>
      </c>
    </row>
    <row r="7" spans="2:17" ht="20.100000000000001" customHeight="1" x14ac:dyDescent="0.35">
      <c r="B7" s="75">
        <v>6</v>
      </c>
      <c r="C7" s="77">
        <v>45846</v>
      </c>
      <c r="D7" s="79">
        <v>32000</v>
      </c>
      <c r="J7">
        <v>450</v>
      </c>
      <c r="O7">
        <v>3800</v>
      </c>
    </row>
    <row r="8" spans="2:17" ht="20.100000000000001" customHeight="1" x14ac:dyDescent="0.35">
      <c r="B8" s="75">
        <v>7</v>
      </c>
      <c r="C8" s="77">
        <v>45853</v>
      </c>
      <c r="D8" s="78">
        <v>650</v>
      </c>
      <c r="J8">
        <v>450</v>
      </c>
    </row>
    <row r="9" spans="2:17" ht="20.100000000000001" customHeight="1" x14ac:dyDescent="0.35">
      <c r="B9" s="75">
        <v>8</v>
      </c>
      <c r="C9" s="77">
        <v>45857</v>
      </c>
      <c r="D9" s="78">
        <v>360</v>
      </c>
      <c r="J9">
        <v>450</v>
      </c>
    </row>
    <row r="10" spans="2:17" ht="20.100000000000001" customHeight="1" x14ac:dyDescent="0.35">
      <c r="B10" s="75">
        <v>9</v>
      </c>
      <c r="C10" s="77">
        <v>45858</v>
      </c>
      <c r="D10" s="78">
        <v>450</v>
      </c>
      <c r="J10">
        <v>450</v>
      </c>
    </row>
    <row r="11" spans="2:17" ht="20.100000000000001" customHeight="1" x14ac:dyDescent="0.35">
      <c r="B11" s="75">
        <v>10</v>
      </c>
      <c r="C11" s="77">
        <v>45876</v>
      </c>
      <c r="D11" s="78">
        <v>200</v>
      </c>
      <c r="J11">
        <v>200</v>
      </c>
    </row>
    <row r="12" spans="2:17" ht="20.100000000000001" customHeight="1" x14ac:dyDescent="0.35">
      <c r="B12" s="75">
        <v>11</v>
      </c>
      <c r="C12" s="77">
        <v>45886</v>
      </c>
      <c r="D12" s="78">
        <v>450</v>
      </c>
      <c r="E12" t="s">
        <v>1295</v>
      </c>
      <c r="J12">
        <v>450</v>
      </c>
    </row>
    <row r="13" spans="2:17" ht="20.100000000000001" customHeight="1" x14ac:dyDescent="0.35">
      <c r="B13" s="75">
        <v>12</v>
      </c>
      <c r="C13" s="77">
        <v>45886</v>
      </c>
      <c r="D13" s="78">
        <v>400</v>
      </c>
      <c r="J13">
        <v>200</v>
      </c>
    </row>
    <row r="14" spans="2:17" ht="20.100000000000001" customHeight="1" x14ac:dyDescent="0.35">
      <c r="B14" s="75">
        <v>13</v>
      </c>
      <c r="C14" s="77">
        <v>45893</v>
      </c>
      <c r="D14" s="80">
        <v>10000</v>
      </c>
      <c r="J14">
        <v>450</v>
      </c>
    </row>
    <row r="15" spans="2:17" ht="20.100000000000001" customHeight="1" x14ac:dyDescent="0.35">
      <c r="B15" s="75">
        <v>14</v>
      </c>
      <c r="C15" s="77">
        <v>45895</v>
      </c>
      <c r="D15" s="78">
        <v>5860</v>
      </c>
      <c r="J15">
        <v>310</v>
      </c>
    </row>
    <row r="16" spans="2:17" ht="20.100000000000001" customHeight="1" x14ac:dyDescent="0.35">
      <c r="B16" s="75">
        <v>15</v>
      </c>
      <c r="C16" s="77">
        <v>45908</v>
      </c>
      <c r="D16" s="78">
        <v>460</v>
      </c>
      <c r="J16">
        <v>250</v>
      </c>
    </row>
    <row r="17" spans="2:17" ht="20.100000000000001" customHeight="1" x14ac:dyDescent="0.35">
      <c r="B17" s="75">
        <v>16</v>
      </c>
      <c r="C17" s="77">
        <v>45914</v>
      </c>
      <c r="D17" s="78">
        <v>360</v>
      </c>
      <c r="J17">
        <v>250</v>
      </c>
    </row>
    <row r="18" spans="2:17" ht="20.100000000000001" customHeight="1" x14ac:dyDescent="0.35">
      <c r="B18" s="75">
        <v>17</v>
      </c>
      <c r="C18" s="77">
        <v>45916</v>
      </c>
      <c r="D18" s="78">
        <v>3375</v>
      </c>
      <c r="J18">
        <v>450</v>
      </c>
    </row>
    <row r="19" spans="2:17" ht="20.100000000000001" customHeight="1" x14ac:dyDescent="0.35">
      <c r="B19" s="75">
        <v>18</v>
      </c>
      <c r="C19" s="77">
        <v>45917</v>
      </c>
      <c r="D19" s="78">
        <v>460</v>
      </c>
      <c r="J19">
        <v>300</v>
      </c>
    </row>
    <row r="20" spans="2:17" ht="20.100000000000001" customHeight="1" x14ac:dyDescent="0.35">
      <c r="B20" s="75">
        <v>19</v>
      </c>
      <c r="C20" s="77">
        <v>45930</v>
      </c>
      <c r="D20" s="76">
        <v>-450</v>
      </c>
      <c r="E20" t="s">
        <v>1317</v>
      </c>
      <c r="J20">
        <v>450</v>
      </c>
    </row>
    <row r="21" spans="2:17" ht="20.100000000000001" customHeight="1" x14ac:dyDescent="0.35">
      <c r="B21" s="75">
        <v>20</v>
      </c>
      <c r="C21" s="77">
        <v>45939</v>
      </c>
      <c r="D21" s="76">
        <v>360</v>
      </c>
      <c r="J21">
        <v>250</v>
      </c>
    </row>
    <row r="22" spans="2:17" x14ac:dyDescent="0.35">
      <c r="B22" s="75">
        <v>21</v>
      </c>
      <c r="C22" s="77">
        <v>45951</v>
      </c>
      <c r="D22" s="76">
        <v>550</v>
      </c>
      <c r="J22">
        <v>450</v>
      </c>
    </row>
    <row r="23" spans="2:17" x14ac:dyDescent="0.35">
      <c r="B23" s="75">
        <v>22</v>
      </c>
      <c r="C23" s="77">
        <v>45958</v>
      </c>
      <c r="D23" s="76">
        <v>65</v>
      </c>
      <c r="J23">
        <v>550</v>
      </c>
    </row>
    <row r="24" spans="2:17" x14ac:dyDescent="0.35">
      <c r="B24" s="75">
        <v>23</v>
      </c>
      <c r="C24" s="77">
        <v>45959</v>
      </c>
      <c r="D24" s="76">
        <v>10000</v>
      </c>
      <c r="J24">
        <v>450</v>
      </c>
    </row>
    <row r="25" spans="2:17" x14ac:dyDescent="0.35">
      <c r="B25" s="75">
        <v>24</v>
      </c>
      <c r="C25" s="77">
        <v>45959</v>
      </c>
      <c r="D25" s="76">
        <v>-4000</v>
      </c>
      <c r="E25" t="s">
        <v>1385</v>
      </c>
      <c r="J25">
        <v>250</v>
      </c>
    </row>
    <row r="26" spans="2:17" x14ac:dyDescent="0.35">
      <c r="B26" s="75">
        <v>25</v>
      </c>
      <c r="C26" s="77">
        <v>45959</v>
      </c>
      <c r="D26" s="76">
        <v>215</v>
      </c>
      <c r="J26">
        <v>450</v>
      </c>
    </row>
    <row r="27" spans="2:17" x14ac:dyDescent="0.35">
      <c r="B27" s="75">
        <v>26</v>
      </c>
      <c r="C27" s="77">
        <v>45964</v>
      </c>
      <c r="D27" s="76">
        <v>1500</v>
      </c>
      <c r="E27" t="s">
        <v>466</v>
      </c>
      <c r="J27">
        <v>450</v>
      </c>
      <c r="O27">
        <f>SUM(P4:P18)</f>
        <v>25700</v>
      </c>
      <c r="P27">
        <f>SUM(Q4:Q18)</f>
        <v>1000</v>
      </c>
      <c r="Q27">
        <f>SUM(L27:P27)</f>
        <v>26700</v>
      </c>
    </row>
    <row r="28" spans="2:17" x14ac:dyDescent="0.35">
      <c r="B28" s="75">
        <v>27</v>
      </c>
      <c r="C28" s="77">
        <v>45964</v>
      </c>
      <c r="D28" s="76">
        <v>550</v>
      </c>
      <c r="J28">
        <v>450</v>
      </c>
    </row>
    <row r="29" spans="2:17" x14ac:dyDescent="0.35">
      <c r="B29" s="75">
        <v>28</v>
      </c>
      <c r="C29" s="77">
        <v>45973</v>
      </c>
      <c r="D29" s="76">
        <v>130</v>
      </c>
      <c r="J29">
        <f>SUM(J7:J28)</f>
        <v>8410</v>
      </c>
    </row>
    <row r="30" spans="2:17" ht="15" customHeight="1" x14ac:dyDescent="0.35">
      <c r="B30" s="75">
        <v>29</v>
      </c>
      <c r="C30" s="77">
        <v>45977</v>
      </c>
      <c r="D30" s="76">
        <v>65</v>
      </c>
    </row>
    <row r="31" spans="2:17" x14ac:dyDescent="0.35">
      <c r="B31" s="75">
        <v>30</v>
      </c>
      <c r="C31" s="77">
        <v>45980</v>
      </c>
      <c r="D31" s="76">
        <v>465</v>
      </c>
    </row>
    <row r="32" spans="2:17" x14ac:dyDescent="0.35">
      <c r="B32" s="75">
        <v>31</v>
      </c>
      <c r="C32" s="77">
        <v>45984</v>
      </c>
      <c r="D32" s="76">
        <v>465</v>
      </c>
    </row>
    <row r="33" spans="2:4" x14ac:dyDescent="0.35">
      <c r="B33" s="75">
        <v>32</v>
      </c>
      <c r="C33" s="77">
        <v>45987</v>
      </c>
      <c r="D33" s="76">
        <v>165</v>
      </c>
    </row>
    <row r="34" spans="2:4" x14ac:dyDescent="0.35">
      <c r="B34" s="75">
        <v>33</v>
      </c>
      <c r="C34" s="77">
        <v>45991</v>
      </c>
      <c r="D34" s="76">
        <v>165</v>
      </c>
    </row>
    <row r="35" spans="2:4" x14ac:dyDescent="0.35">
      <c r="B35" s="75">
        <v>34</v>
      </c>
      <c r="C35" s="77">
        <v>45993</v>
      </c>
      <c r="D35" s="76">
        <v>465</v>
      </c>
    </row>
    <row r="36" spans="2:4" x14ac:dyDescent="0.35">
      <c r="B36" s="75">
        <v>35</v>
      </c>
      <c r="C36" s="77">
        <v>46005</v>
      </c>
      <c r="D36" s="76">
        <v>2300</v>
      </c>
    </row>
    <row r="37" spans="2:4" x14ac:dyDescent="0.35">
      <c r="B37" s="75">
        <v>36</v>
      </c>
      <c r="C37" s="77">
        <v>46019</v>
      </c>
      <c r="D37" s="76">
        <v>550</v>
      </c>
    </row>
    <row r="38" spans="2:4" x14ac:dyDescent="0.35">
      <c r="B38" s="75">
        <v>37</v>
      </c>
      <c r="C38" s="77">
        <v>46019</v>
      </c>
      <c r="D38" s="76">
        <v>215</v>
      </c>
    </row>
    <row r="39" spans="2:4" x14ac:dyDescent="0.35">
      <c r="B39" s="75">
        <v>38</v>
      </c>
      <c r="C39" s="81">
        <v>46026</v>
      </c>
      <c r="D39" s="75">
        <v>550</v>
      </c>
    </row>
    <row r="40" spans="2:4" x14ac:dyDescent="0.35">
      <c r="B40" s="75">
        <v>39</v>
      </c>
      <c r="C40" s="81">
        <v>46026</v>
      </c>
      <c r="D40" s="75">
        <v>360</v>
      </c>
    </row>
    <row r="41" spans="2:4" x14ac:dyDescent="0.35">
      <c r="B41" s="75">
        <v>40</v>
      </c>
      <c r="C41" s="81">
        <v>46036</v>
      </c>
      <c r="D41" s="75">
        <v>465</v>
      </c>
    </row>
    <row r="42" spans="2:4" x14ac:dyDescent="0.35">
      <c r="B42" s="82">
        <v>41</v>
      </c>
      <c r="C42" s="83">
        <v>46036</v>
      </c>
      <c r="D42" s="82">
        <v>460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2F0B-9218-4A65-B330-51562D1E35C6}">
  <sheetPr codeName="Sheet4"/>
  <dimension ref="A1:P34"/>
  <sheetViews>
    <sheetView rightToLeft="1" zoomScale="64" workbookViewId="0">
      <selection activeCell="D20" sqref="D20"/>
    </sheetView>
  </sheetViews>
  <sheetFormatPr defaultRowHeight="12.75" x14ac:dyDescent="0.2"/>
  <cols>
    <col min="1" max="1" width="15.140625" bestFit="1" customWidth="1"/>
    <col min="2" max="2" width="14.140625" bestFit="1" customWidth="1"/>
    <col min="3" max="4" width="12.85546875" bestFit="1" customWidth="1"/>
    <col min="5" max="5" width="20.85546875" bestFit="1" customWidth="1"/>
    <col min="6" max="6" width="38.5703125" bestFit="1" customWidth="1"/>
    <col min="8" max="8" width="17.85546875" bestFit="1" customWidth="1"/>
    <col min="9" max="9" width="20.85546875" bestFit="1" customWidth="1"/>
    <col min="10" max="10" width="12.85546875" bestFit="1" customWidth="1"/>
    <col min="14" max="14" width="26" customWidth="1"/>
    <col min="15" max="15" width="20.5703125" bestFit="1" customWidth="1"/>
    <col min="16" max="16" width="14" bestFit="1" customWidth="1"/>
  </cols>
  <sheetData>
    <row r="1" spans="1:16" ht="24" thickBot="1" x14ac:dyDescent="0.4">
      <c r="A1" s="46" t="s">
        <v>11</v>
      </c>
      <c r="B1" s="47" t="s">
        <v>7</v>
      </c>
      <c r="C1" s="48" t="s">
        <v>8</v>
      </c>
      <c r="D1" s="47" t="s">
        <v>9</v>
      </c>
      <c r="E1" s="49" t="s">
        <v>10</v>
      </c>
      <c r="F1" s="50" t="s">
        <v>1329</v>
      </c>
      <c r="H1" s="35" t="s">
        <v>1035</v>
      </c>
      <c r="I1" s="36"/>
      <c r="J1" s="17">
        <v>302000</v>
      </c>
      <c r="N1" s="98" t="s">
        <v>1299</v>
      </c>
      <c r="O1" s="99"/>
      <c r="P1" s="34">
        <v>150000</v>
      </c>
    </row>
    <row r="2" spans="1:16" ht="24" thickBot="1" x14ac:dyDescent="0.4">
      <c r="A2" s="51">
        <f>SUM(B2)</f>
        <v>100000</v>
      </c>
      <c r="B2" s="3">
        <f t="shared" ref="B2:B8" si="0">SUM(C2-D2)</f>
        <v>100000</v>
      </c>
      <c r="C2" s="1">
        <v>100000</v>
      </c>
      <c r="D2" s="3"/>
      <c r="E2" s="2">
        <v>45838</v>
      </c>
      <c r="F2" s="52" t="s">
        <v>1331</v>
      </c>
      <c r="H2" s="14"/>
      <c r="I2" s="15" t="s">
        <v>1052</v>
      </c>
      <c r="J2" s="16">
        <v>148750</v>
      </c>
      <c r="N2" s="100" t="s">
        <v>1297</v>
      </c>
      <c r="O2" s="101"/>
      <c r="P2" s="42">
        <v>4500</v>
      </c>
    </row>
    <row r="3" spans="1:16" ht="24" thickBot="1" x14ac:dyDescent="0.4">
      <c r="A3" s="51">
        <f>SUM(A2+B3)</f>
        <v>132000</v>
      </c>
      <c r="B3" s="3">
        <f t="shared" si="0"/>
        <v>32000</v>
      </c>
      <c r="C3" s="1">
        <v>32000</v>
      </c>
      <c r="D3" s="3"/>
      <c r="E3" s="2">
        <v>45846</v>
      </c>
      <c r="F3" s="52" t="s">
        <v>1043</v>
      </c>
      <c r="H3" s="37" t="s">
        <v>1053</v>
      </c>
      <c r="I3" s="10" t="s">
        <v>591</v>
      </c>
      <c r="J3" s="5">
        <v>25000</v>
      </c>
      <c r="N3" s="102" t="s">
        <v>1328</v>
      </c>
      <c r="O3" s="103"/>
      <c r="P3" s="41">
        <v>10000</v>
      </c>
    </row>
    <row r="4" spans="1:16" ht="24" thickBot="1" x14ac:dyDescent="0.4">
      <c r="A4" s="51">
        <f t="shared" ref="A4:A22" si="1">SUM(A3+B4)</f>
        <v>232000</v>
      </c>
      <c r="B4" s="3">
        <f t="shared" si="0"/>
        <v>100000</v>
      </c>
      <c r="C4" s="1">
        <v>100000</v>
      </c>
      <c r="D4" s="3"/>
      <c r="E4" s="2">
        <v>45854</v>
      </c>
      <c r="F4" s="52" t="s">
        <v>1331</v>
      </c>
      <c r="H4" s="38"/>
      <c r="I4" s="10" t="s">
        <v>1054</v>
      </c>
      <c r="J4" s="5">
        <v>10000</v>
      </c>
      <c r="N4" s="37" t="s">
        <v>1053</v>
      </c>
      <c r="O4" s="24" t="s">
        <v>1298</v>
      </c>
      <c r="P4" s="33">
        <v>-5000</v>
      </c>
    </row>
    <row r="5" spans="1:16" ht="24" thickBot="1" x14ac:dyDescent="0.4">
      <c r="A5" s="51">
        <f t="shared" si="1"/>
        <v>302000</v>
      </c>
      <c r="B5" s="3">
        <f t="shared" si="0"/>
        <v>70000</v>
      </c>
      <c r="C5" s="1">
        <v>70000</v>
      </c>
      <c r="D5" s="3"/>
      <c r="E5" s="2">
        <v>45860</v>
      </c>
      <c r="F5" s="52" t="s">
        <v>1331</v>
      </c>
      <c r="H5" s="38"/>
      <c r="I5" s="10" t="s">
        <v>1055</v>
      </c>
      <c r="J5" s="5">
        <v>52000</v>
      </c>
      <c r="N5" s="40"/>
      <c r="O5" s="23" t="s">
        <v>1178</v>
      </c>
      <c r="P5" s="43">
        <v>-25000</v>
      </c>
    </row>
    <row r="6" spans="1:16" ht="24" thickBot="1" x14ac:dyDescent="0.4">
      <c r="A6" s="51">
        <f t="shared" si="1"/>
        <v>153250</v>
      </c>
      <c r="B6" s="3">
        <f t="shared" si="0"/>
        <v>-148750</v>
      </c>
      <c r="C6" s="1"/>
      <c r="D6" s="3">
        <v>148750</v>
      </c>
      <c r="E6" s="2"/>
      <c r="F6" s="52" t="s">
        <v>1332</v>
      </c>
      <c r="H6" s="38"/>
      <c r="I6" s="10" t="s">
        <v>1056</v>
      </c>
      <c r="J6" s="5">
        <v>20000</v>
      </c>
      <c r="N6" s="106" t="s">
        <v>1306</v>
      </c>
      <c r="O6" s="107"/>
      <c r="P6" s="44">
        <v>-120000</v>
      </c>
    </row>
    <row r="7" spans="1:16" ht="24" thickBot="1" x14ac:dyDescent="0.4">
      <c r="A7" s="51">
        <f t="shared" si="1"/>
        <v>128250</v>
      </c>
      <c r="B7" s="3">
        <f t="shared" si="0"/>
        <v>-25000</v>
      </c>
      <c r="C7" s="1"/>
      <c r="D7" s="4">
        <v>25000</v>
      </c>
      <c r="E7" s="45"/>
      <c r="F7" s="57" t="s">
        <v>591</v>
      </c>
      <c r="H7" s="38"/>
      <c r="I7" s="10" t="s">
        <v>1057</v>
      </c>
      <c r="J7" s="5">
        <v>12250</v>
      </c>
      <c r="N7" s="25"/>
      <c r="O7" s="22"/>
      <c r="P7" s="22"/>
    </row>
    <row r="8" spans="1:16" ht="24" thickBot="1" x14ac:dyDescent="0.4">
      <c r="A8" s="51">
        <f t="shared" si="1"/>
        <v>118250</v>
      </c>
      <c r="B8" s="3">
        <f t="shared" si="0"/>
        <v>-10000</v>
      </c>
      <c r="C8" s="1"/>
      <c r="D8" s="4">
        <v>10000</v>
      </c>
      <c r="E8" s="45"/>
      <c r="F8" s="57" t="s">
        <v>1054</v>
      </c>
      <c r="H8" s="38"/>
      <c r="I8" s="10" t="s">
        <v>177</v>
      </c>
      <c r="J8" s="5">
        <v>4000</v>
      </c>
      <c r="N8" s="25"/>
      <c r="O8" s="22"/>
      <c r="P8" s="22"/>
    </row>
    <row r="9" spans="1:16" ht="24" thickBot="1" x14ac:dyDescent="0.4">
      <c r="A9" s="51">
        <f t="shared" si="1"/>
        <v>66250</v>
      </c>
      <c r="B9" s="3">
        <f t="shared" ref="B9:B34" si="2">SUM(C9-D9)</f>
        <v>-52000</v>
      </c>
      <c r="C9" s="1"/>
      <c r="D9" s="4">
        <v>52000</v>
      </c>
      <c r="E9" s="45"/>
      <c r="F9" s="57" t="s">
        <v>1055</v>
      </c>
      <c r="H9" s="38"/>
      <c r="I9" s="10" t="s">
        <v>1062</v>
      </c>
      <c r="J9" s="5">
        <v>2000</v>
      </c>
      <c r="N9" s="30"/>
      <c r="O9" s="31"/>
      <c r="P9" s="31"/>
    </row>
    <row r="10" spans="1:16" ht="24" thickBot="1" x14ac:dyDescent="0.4">
      <c r="A10" s="51">
        <f t="shared" si="1"/>
        <v>54000</v>
      </c>
      <c r="B10" s="3">
        <f t="shared" si="2"/>
        <v>-12250</v>
      </c>
      <c r="C10" s="1"/>
      <c r="D10" s="4">
        <v>12250</v>
      </c>
      <c r="E10" s="45"/>
      <c r="F10" s="57" t="s">
        <v>1057</v>
      </c>
      <c r="H10" s="38"/>
      <c r="I10" s="10" t="s">
        <v>1116</v>
      </c>
      <c r="J10" s="5">
        <v>5500</v>
      </c>
      <c r="N10" s="25"/>
      <c r="O10" s="22"/>
      <c r="P10" s="22"/>
    </row>
    <row r="11" spans="1:16" ht="24" thickBot="1" x14ac:dyDescent="0.4">
      <c r="A11" s="51">
        <f t="shared" si="1"/>
        <v>50000</v>
      </c>
      <c r="B11" s="3">
        <f t="shared" si="2"/>
        <v>-4000</v>
      </c>
      <c r="C11" s="1"/>
      <c r="D11" s="4">
        <v>4000</v>
      </c>
      <c r="E11" s="45"/>
      <c r="F11" s="57" t="s">
        <v>177</v>
      </c>
      <c r="H11" s="38"/>
      <c r="I11" s="10" t="s">
        <v>1117</v>
      </c>
      <c r="J11" s="5">
        <v>3000</v>
      </c>
      <c r="N11" s="30"/>
      <c r="O11" s="31"/>
      <c r="P11" s="31"/>
    </row>
    <row r="12" spans="1:16" ht="24" thickBot="1" x14ac:dyDescent="0.4">
      <c r="A12" s="51">
        <f t="shared" si="1"/>
        <v>48000</v>
      </c>
      <c r="B12" s="3">
        <f t="shared" si="2"/>
        <v>-2000</v>
      </c>
      <c r="C12" s="1"/>
      <c r="D12" s="4">
        <v>2000</v>
      </c>
      <c r="E12" s="45"/>
      <c r="F12" s="57" t="s">
        <v>1062</v>
      </c>
      <c r="H12" s="39"/>
      <c r="I12" s="10" t="s">
        <v>1133</v>
      </c>
      <c r="J12" s="5">
        <v>3000</v>
      </c>
      <c r="N12" s="29"/>
      <c r="O12" s="27"/>
      <c r="P12" s="27"/>
    </row>
    <row r="13" spans="1:16" ht="24" thickBot="1" x14ac:dyDescent="0.4">
      <c r="A13" s="51">
        <f t="shared" si="1"/>
        <v>42500</v>
      </c>
      <c r="B13" s="3">
        <f t="shared" si="2"/>
        <v>-5500</v>
      </c>
      <c r="C13" s="1"/>
      <c r="D13" s="4">
        <v>5500</v>
      </c>
      <c r="E13" s="45"/>
      <c r="F13" s="57" t="s">
        <v>1116</v>
      </c>
      <c r="H13" s="7"/>
      <c r="I13" s="11"/>
      <c r="J13" s="9"/>
      <c r="N13" s="26"/>
      <c r="O13" s="28"/>
      <c r="P13" s="28"/>
    </row>
    <row r="14" spans="1:16" ht="24" thickBot="1" x14ac:dyDescent="0.4">
      <c r="A14" s="51">
        <f t="shared" si="1"/>
        <v>39500</v>
      </c>
      <c r="B14" s="3">
        <f t="shared" si="2"/>
        <v>-3000</v>
      </c>
      <c r="C14" s="1"/>
      <c r="D14" s="4">
        <v>3000</v>
      </c>
      <c r="E14" s="45"/>
      <c r="F14" s="57" t="s">
        <v>1117</v>
      </c>
      <c r="H14" s="7"/>
      <c r="I14" s="11"/>
      <c r="J14" s="9"/>
      <c r="N14" s="26"/>
      <c r="O14" s="28"/>
      <c r="P14" s="28"/>
    </row>
    <row r="15" spans="1:16" ht="24" thickBot="1" x14ac:dyDescent="0.4">
      <c r="A15" s="51">
        <f t="shared" si="1"/>
        <v>36500</v>
      </c>
      <c r="B15" s="3">
        <f t="shared" si="2"/>
        <v>-3000</v>
      </c>
      <c r="C15" s="1"/>
      <c r="D15" s="4">
        <v>3000</v>
      </c>
      <c r="E15" s="45"/>
      <c r="F15" s="57" t="s">
        <v>1133</v>
      </c>
      <c r="H15" s="7"/>
      <c r="I15" s="12" t="s">
        <v>541</v>
      </c>
      <c r="J15" s="5">
        <v>12000</v>
      </c>
      <c r="N15" s="104" t="s">
        <v>1327</v>
      </c>
      <c r="O15" s="105"/>
      <c r="P15" s="32">
        <f>SUM(P1+P2+P3)</f>
        <v>164500</v>
      </c>
    </row>
    <row r="16" spans="1:16" ht="24" thickBot="1" x14ac:dyDescent="0.4">
      <c r="A16" s="51">
        <f t="shared" si="1"/>
        <v>24500</v>
      </c>
      <c r="B16" s="3">
        <f t="shared" si="2"/>
        <v>-12000</v>
      </c>
      <c r="C16" s="1"/>
      <c r="D16" s="4">
        <v>12000</v>
      </c>
      <c r="E16" s="45"/>
      <c r="F16" s="57" t="s">
        <v>541</v>
      </c>
      <c r="H16" s="7"/>
      <c r="I16" s="12" t="s">
        <v>1058</v>
      </c>
      <c r="J16" s="5">
        <f>SUM(J2:J15)</f>
        <v>297500</v>
      </c>
      <c r="N16" s="104" t="s">
        <v>1300</v>
      </c>
      <c r="O16" s="105"/>
      <c r="P16" s="22">
        <f>SUM(P4+P5+P6+P7+P8+P9+P10+P11+P12+P13+P14)</f>
        <v>-150000</v>
      </c>
    </row>
    <row r="17" spans="1:16" ht="24" thickBot="1" x14ac:dyDescent="0.4">
      <c r="A17" s="51">
        <f t="shared" si="1"/>
        <v>4500</v>
      </c>
      <c r="B17" s="3">
        <f t="shared" si="2"/>
        <v>-20000</v>
      </c>
      <c r="C17" s="1"/>
      <c r="D17" s="4">
        <v>20000</v>
      </c>
      <c r="E17" s="45"/>
      <c r="F17" s="57" t="s">
        <v>1056</v>
      </c>
      <c r="H17" s="8"/>
      <c r="I17" s="13" t="s">
        <v>1059</v>
      </c>
      <c r="J17" s="6">
        <f>SUM(J1-J16)</f>
        <v>4500</v>
      </c>
      <c r="N17" s="104" t="s">
        <v>1304</v>
      </c>
      <c r="O17" s="105"/>
      <c r="P17" s="31">
        <f>SUM(P1:P14)</f>
        <v>14500</v>
      </c>
    </row>
    <row r="18" spans="1:16" ht="23.25" x14ac:dyDescent="0.35">
      <c r="A18" s="51">
        <f t="shared" si="1"/>
        <v>154500</v>
      </c>
      <c r="B18" s="3">
        <f t="shared" si="2"/>
        <v>150000</v>
      </c>
      <c r="C18" s="1">
        <v>150000</v>
      </c>
      <c r="D18" s="3"/>
      <c r="E18" s="2">
        <v>45922</v>
      </c>
      <c r="F18" s="52" t="s">
        <v>1331</v>
      </c>
    </row>
    <row r="19" spans="1:16" ht="23.25" x14ac:dyDescent="0.35">
      <c r="A19" s="51">
        <f t="shared" si="1"/>
        <v>164500</v>
      </c>
      <c r="B19" s="3">
        <f t="shared" si="2"/>
        <v>10000</v>
      </c>
      <c r="C19" s="1">
        <v>10000</v>
      </c>
      <c r="D19" s="3"/>
      <c r="E19" s="2">
        <v>45931</v>
      </c>
      <c r="F19" s="52" t="s">
        <v>1043</v>
      </c>
    </row>
    <row r="20" spans="1:16" ht="23.25" x14ac:dyDescent="0.35">
      <c r="A20" s="51">
        <f t="shared" si="1"/>
        <v>159500</v>
      </c>
      <c r="B20" s="3">
        <f t="shared" si="2"/>
        <v>-5000</v>
      </c>
      <c r="C20" s="1"/>
      <c r="D20" s="4">
        <v>5000</v>
      </c>
      <c r="E20" s="2"/>
      <c r="F20" s="52" t="s">
        <v>1298</v>
      </c>
    </row>
    <row r="21" spans="1:16" ht="23.25" x14ac:dyDescent="0.35">
      <c r="A21" s="51">
        <f t="shared" si="1"/>
        <v>134500</v>
      </c>
      <c r="B21" s="3">
        <f t="shared" si="2"/>
        <v>-25000</v>
      </c>
      <c r="C21" s="1"/>
      <c r="D21" s="4">
        <v>25000</v>
      </c>
      <c r="E21" s="2"/>
      <c r="F21" s="52" t="s">
        <v>1178</v>
      </c>
    </row>
    <row r="22" spans="1:16" ht="23.25" x14ac:dyDescent="0.35">
      <c r="A22" s="51">
        <f t="shared" si="1"/>
        <v>10750</v>
      </c>
      <c r="B22" s="3">
        <f t="shared" si="2"/>
        <v>-123750</v>
      </c>
      <c r="C22" s="1"/>
      <c r="D22" s="3">
        <v>123750</v>
      </c>
      <c r="E22" s="2"/>
      <c r="F22" s="52" t="s">
        <v>1330</v>
      </c>
    </row>
    <row r="23" spans="1:16" ht="23.25" x14ac:dyDescent="0.35">
      <c r="A23" s="51">
        <f t="shared" ref="A23:A30" si="3">SUM(A22+B23)</f>
        <v>29960</v>
      </c>
      <c r="B23" s="3">
        <f t="shared" si="2"/>
        <v>19210</v>
      </c>
      <c r="C23" s="1">
        <v>19210</v>
      </c>
      <c r="D23" s="3"/>
      <c r="E23" s="2">
        <v>45923</v>
      </c>
      <c r="F23" s="52" t="s">
        <v>1400</v>
      </c>
    </row>
    <row r="24" spans="1:16" ht="23.25" x14ac:dyDescent="0.35">
      <c r="A24" s="51">
        <f t="shared" si="3"/>
        <v>30320</v>
      </c>
      <c r="B24" s="3">
        <f t="shared" si="2"/>
        <v>360</v>
      </c>
      <c r="C24" s="1">
        <v>360</v>
      </c>
      <c r="D24" s="3"/>
      <c r="E24" s="45"/>
      <c r="F24" s="57"/>
    </row>
    <row r="25" spans="1:16" ht="23.25" x14ac:dyDescent="0.35">
      <c r="A25" s="51">
        <f t="shared" si="3"/>
        <v>30870</v>
      </c>
      <c r="B25" s="3">
        <f t="shared" si="2"/>
        <v>550</v>
      </c>
      <c r="C25" s="1">
        <v>550</v>
      </c>
      <c r="D25" s="3"/>
      <c r="E25" s="45"/>
      <c r="F25" s="57"/>
    </row>
    <row r="26" spans="1:16" ht="23.25" x14ac:dyDescent="0.35">
      <c r="A26" s="51">
        <f t="shared" si="3"/>
        <v>30935</v>
      </c>
      <c r="B26" s="3">
        <f t="shared" si="2"/>
        <v>65</v>
      </c>
      <c r="C26" s="1">
        <v>65</v>
      </c>
      <c r="D26" s="3"/>
      <c r="E26" s="45"/>
      <c r="F26" s="57"/>
    </row>
    <row r="27" spans="1:16" ht="23.25" x14ac:dyDescent="0.35">
      <c r="A27" s="51">
        <f t="shared" si="3"/>
        <v>30485</v>
      </c>
      <c r="B27" s="3">
        <f t="shared" si="2"/>
        <v>-450</v>
      </c>
      <c r="C27" s="1"/>
      <c r="D27" s="3">
        <v>450</v>
      </c>
      <c r="E27" s="45"/>
      <c r="F27" s="57" t="s">
        <v>1399</v>
      </c>
    </row>
    <row r="28" spans="1:16" ht="23.25" x14ac:dyDescent="0.35">
      <c r="A28" s="51">
        <f t="shared" si="3"/>
        <v>36485</v>
      </c>
      <c r="B28" s="3">
        <f t="shared" si="2"/>
        <v>6000</v>
      </c>
      <c r="C28" s="1">
        <v>10000</v>
      </c>
      <c r="D28" s="3">
        <v>4000</v>
      </c>
      <c r="E28" s="45"/>
      <c r="F28" s="57" t="s">
        <v>1385</v>
      </c>
    </row>
    <row r="29" spans="1:16" ht="23.25" x14ac:dyDescent="0.35">
      <c r="A29" s="51">
        <f t="shared" si="3"/>
        <v>36700</v>
      </c>
      <c r="B29" s="3">
        <f t="shared" si="2"/>
        <v>215</v>
      </c>
      <c r="C29" s="1">
        <v>215</v>
      </c>
      <c r="D29" s="3"/>
      <c r="E29" s="45"/>
      <c r="F29" s="57"/>
    </row>
    <row r="30" spans="1:16" ht="23.25" x14ac:dyDescent="0.35">
      <c r="A30" s="51">
        <f t="shared" si="3"/>
        <v>38200</v>
      </c>
      <c r="B30" s="3">
        <f t="shared" si="2"/>
        <v>1500</v>
      </c>
      <c r="C30" s="1">
        <v>1500</v>
      </c>
      <c r="D30" s="3"/>
      <c r="E30" s="45"/>
      <c r="F30" s="57" t="s">
        <v>1401</v>
      </c>
    </row>
    <row r="31" spans="1:16" ht="23.25" x14ac:dyDescent="0.35">
      <c r="A31" s="51">
        <f>SUM(A30+B31)</f>
        <v>38750</v>
      </c>
      <c r="B31" s="3">
        <f t="shared" si="2"/>
        <v>550</v>
      </c>
      <c r="C31" s="1">
        <v>550</v>
      </c>
      <c r="D31" s="3"/>
      <c r="E31" s="45"/>
      <c r="F31" s="57"/>
    </row>
    <row r="32" spans="1:16" ht="23.25" x14ac:dyDescent="0.35">
      <c r="A32" s="51">
        <f>SUM(A31+B32)</f>
        <v>39750</v>
      </c>
      <c r="B32" s="3">
        <f t="shared" si="2"/>
        <v>1000</v>
      </c>
      <c r="C32" s="1">
        <v>1000</v>
      </c>
      <c r="D32" s="3"/>
      <c r="E32" s="45"/>
      <c r="F32" s="57"/>
    </row>
    <row r="33" spans="1:6" ht="23.25" x14ac:dyDescent="0.35">
      <c r="A33" s="51"/>
      <c r="B33" s="3">
        <f t="shared" si="2"/>
        <v>0</v>
      </c>
      <c r="C33" s="1"/>
      <c r="D33" s="3"/>
      <c r="E33" s="45"/>
      <c r="F33" s="57"/>
    </row>
    <row r="34" spans="1:6" ht="24" thickBot="1" x14ac:dyDescent="0.4">
      <c r="A34" s="53"/>
      <c r="B34" s="54">
        <f t="shared" si="2"/>
        <v>0</v>
      </c>
      <c r="C34" s="55"/>
      <c r="D34" s="54"/>
      <c r="E34" s="56"/>
      <c r="F34" s="58"/>
    </row>
  </sheetData>
  <mergeCells count="7">
    <mergeCell ref="N1:O1"/>
    <mergeCell ref="N2:O2"/>
    <mergeCell ref="N3:O3"/>
    <mergeCell ref="N17:O17"/>
    <mergeCell ref="N16:O16"/>
    <mergeCell ref="N15:O15"/>
    <mergeCell ref="N6:O6"/>
  </mergeCells>
  <phoneticPr fontId="5" type="noConversion"/>
  <pageMargins left="0.75" right="0.75" top="1" bottom="1" header="0.5" footer="0.5"/>
  <headerFooter alignWithMargins="0"/>
  <ignoredErrors>
    <ignoredError sqref="A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A8C6BD-9B0B-4A62-AC68-AEEA0246A3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</vt:lpstr>
      <vt:lpstr>د السعدني</vt:lpstr>
      <vt:lpstr>انستا</vt:lpstr>
      <vt:lpstr>البيت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SELRS Tanta</cp:lastModifiedBy>
  <cp:lastPrinted>2025-08-26T08:29:54Z</cp:lastPrinted>
  <dcterms:created xsi:type="dcterms:W3CDTF">2018-01-16T11:54:18Z</dcterms:created>
  <dcterms:modified xsi:type="dcterms:W3CDTF">2026-01-24T10:15:53Z</dcterms:modified>
</cp:coreProperties>
</file>